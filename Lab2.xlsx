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GUU\4course1\ЧМ\"/>
    </mc:Choice>
  </mc:AlternateContent>
  <xr:revisionPtr revIDLastSave="0" documentId="13_ncr:1_{E298B776-5D9E-47F9-ADDA-14F45755AC71}" xr6:coauthVersionLast="45" xr6:coauthVersionMax="45" xr10:uidLastSave="{00000000-0000-0000-0000-000000000000}"/>
  <bookViews>
    <workbookView xWindow="-120" yWindow="-120" windowWidth="29040" windowHeight="15840" xr2:uid="{50AC10DE-6C24-44E6-9726-D763F3AB70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V4" i="1"/>
  <c r="U4" i="1"/>
  <c r="T4" i="1"/>
  <c r="S4" i="1"/>
  <c r="H4" i="1"/>
  <c r="K5" i="1"/>
  <c r="J5" i="1"/>
  <c r="H6" i="1" s="1"/>
  <c r="I5" i="1"/>
  <c r="H5" i="1"/>
  <c r="I6" i="1" s="1"/>
  <c r="K4" i="1"/>
  <c r="J4" i="1"/>
  <c r="I4" i="1"/>
  <c r="C27" i="1"/>
  <c r="C26" i="1"/>
  <c r="C25" i="1"/>
  <c r="C24" i="1"/>
  <c r="H27" i="1"/>
  <c r="J27" i="1"/>
  <c r="H26" i="1"/>
  <c r="J26" i="1"/>
  <c r="H25" i="1"/>
  <c r="J25" i="1"/>
  <c r="J24" i="1"/>
  <c r="H24" i="1"/>
  <c r="C12" i="1"/>
  <c r="C21" i="1"/>
  <c r="C20" i="1"/>
  <c r="C19" i="1"/>
  <c r="C18" i="1"/>
  <c r="C17" i="1"/>
  <c r="C16" i="1"/>
  <c r="C15" i="1"/>
  <c r="C14" i="1"/>
  <c r="C13" i="1"/>
  <c r="C11" i="1"/>
  <c r="C10" i="1"/>
  <c r="C9" i="1"/>
  <c r="C8" i="1"/>
  <c r="C7" i="1"/>
  <c r="C6" i="1"/>
  <c r="T5" i="1" l="1"/>
  <c r="J6" i="1"/>
  <c r="H7" i="1" s="1"/>
  <c r="L5" i="1"/>
  <c r="K6" i="1"/>
  <c r="J7" i="1" s="1"/>
  <c r="U5" i="1" l="1"/>
  <c r="W5" i="1" s="1"/>
  <c r="V5" i="1"/>
  <c r="I7" i="1"/>
  <c r="L7" i="1" s="1"/>
  <c r="K7" i="1"/>
  <c r="H8" i="1" s="1"/>
  <c r="L6" i="1"/>
  <c r="S6" i="1" l="1"/>
  <c r="K8" i="1"/>
  <c r="I8" i="1"/>
  <c r="J9" i="1" s="1"/>
  <c r="J8" i="1"/>
  <c r="T6" i="1" l="1"/>
  <c r="U6" i="1"/>
  <c r="K9" i="1"/>
  <c r="I9" i="1"/>
  <c r="H10" i="1" s="1"/>
  <c r="H9" i="1"/>
  <c r="L8" i="1"/>
  <c r="V6" i="1" l="1"/>
  <c r="W6" i="1" s="1"/>
  <c r="J10" i="1"/>
  <c r="I10" i="1"/>
  <c r="H11" i="1" s="1"/>
  <c r="L9" i="1"/>
  <c r="K10" i="1"/>
  <c r="S7" i="1" l="1"/>
  <c r="J11" i="1"/>
  <c r="I11" i="1"/>
  <c r="K12" i="1" s="1"/>
  <c r="L10" i="1"/>
  <c r="K11" i="1"/>
  <c r="J12" i="1" s="1"/>
  <c r="T7" i="1" l="1"/>
  <c r="U7" i="1"/>
  <c r="V7" i="1" s="1"/>
  <c r="H12" i="1"/>
  <c r="I12" i="1"/>
  <c r="L11" i="1"/>
  <c r="S8" i="1" l="1"/>
  <c r="W7" i="1"/>
  <c r="J13" i="1"/>
  <c r="H13" i="1"/>
  <c r="K13" i="1"/>
  <c r="L12" i="1"/>
  <c r="I13" i="1"/>
  <c r="T8" i="1" l="1"/>
  <c r="U8" i="1"/>
  <c r="V8" i="1" s="1"/>
  <c r="S9" i="1" s="1"/>
  <c r="K14" i="1"/>
  <c r="I14" i="1"/>
  <c r="L13" i="1"/>
  <c r="J14" i="1"/>
  <c r="H14" i="1"/>
  <c r="L14" i="1" s="1"/>
  <c r="T9" i="1" l="1"/>
  <c r="U9" i="1" s="1"/>
  <c r="W9" i="1"/>
  <c r="V9" i="1"/>
  <c r="W8" i="1"/>
  <c r="S10" i="1"/>
  <c r="T10" i="1" l="1"/>
  <c r="U10" i="1"/>
  <c r="V10" i="1" s="1"/>
  <c r="S11" i="1" l="1"/>
  <c r="W10" i="1"/>
  <c r="T11" i="1" l="1"/>
  <c r="U11" i="1"/>
  <c r="V11" i="1"/>
  <c r="W11" i="1" l="1"/>
  <c r="S12" i="1"/>
  <c r="T12" i="1" l="1"/>
  <c r="U12" i="1" l="1"/>
  <c r="V12" i="1" l="1"/>
  <c r="S13" i="1" s="1"/>
  <c r="T13" i="1" l="1"/>
  <c r="U13" i="1"/>
  <c r="V13" i="1" s="1"/>
  <c r="W12" i="1"/>
  <c r="W13" i="1" l="1"/>
</calcChain>
</file>

<file path=xl/sharedStrings.xml><?xml version="1.0" encoding="utf-8"?>
<sst xmlns="http://schemas.openxmlformats.org/spreadsheetml/2006/main" count="64" uniqueCount="33">
  <si>
    <t xml:space="preserve">Вариант </t>
  </si>
  <si>
    <t>Коэф-ты матрицы</t>
  </si>
  <si>
    <t>a11</t>
  </si>
  <si>
    <t>a12</t>
  </si>
  <si>
    <t>a13</t>
  </si>
  <si>
    <t>a21</t>
  </si>
  <si>
    <t>a22</t>
  </si>
  <si>
    <t>a23</t>
  </si>
  <si>
    <t>a31</t>
  </si>
  <si>
    <t>a32</t>
  </si>
  <si>
    <t>a33</t>
  </si>
  <si>
    <t>a14</t>
  </si>
  <si>
    <t>a24</t>
  </si>
  <si>
    <t>a34</t>
  </si>
  <si>
    <t>a41</t>
  </si>
  <si>
    <t>a42</t>
  </si>
  <si>
    <t>a43</t>
  </si>
  <si>
    <t>a44</t>
  </si>
  <si>
    <t>Коэф-ты вектора свободных членов d</t>
  </si>
  <si>
    <t>Метод простых итераций</t>
  </si>
  <si>
    <t>x1</t>
  </si>
  <si>
    <t>x2</t>
  </si>
  <si>
    <t>x3</t>
  </si>
  <si>
    <t>x4</t>
  </si>
  <si>
    <t>Проверка условия</t>
  </si>
  <si>
    <t>Достаточные условия сходимости</t>
  </si>
  <si>
    <t>&lt;</t>
  </si>
  <si>
    <t>d1</t>
  </si>
  <si>
    <t>d2</t>
  </si>
  <si>
    <t>d3</t>
  </si>
  <si>
    <t>d4</t>
  </si>
  <si>
    <t>Epsilon</t>
  </si>
  <si>
    <t>Метод Зейделя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</si>
</sst>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28</xdr:row>
      <xdr:rowOff>28575</xdr:rowOff>
    </xdr:from>
    <xdr:to>
      <xdr:col>7</xdr:col>
      <xdr:colOff>457200</xdr:colOff>
      <xdr:row>34</xdr:row>
      <xdr:rowOff>85725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F23E8EA-273C-4E52-8F0C-45EF0DD2C43F}"/>
                </a:ext>
              </a:extLst>
            </xdr:cNvPr>
            <xdr:cNvSpPr txBox="1"/>
          </xdr:nvSpPr>
          <xdr:spPr>
            <a:xfrm>
              <a:off x="1724025" y="5410200"/>
              <a:ext cx="3848100" cy="1200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Методы сходятся, если</a:t>
              </a:r>
              <a:r>
                <a:rPr lang="ru-RU" sz="1100" baseline="0"/>
                <a:t> 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|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𝑖𝑖</m:t>
                                </m:r>
                              </m:sub>
                            </m:sSub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|</m:t>
                        </m:r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≤1,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=1,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𝑗</m:t>
                    </m:r>
                  </m:oMath>
                </m:oMathPara>
              </a14:m>
              <a:endParaRPr lang="en-US" sz="1100"/>
            </a:p>
            <a:p>
              <a:r>
                <a:rPr lang="ru-RU" sz="1100"/>
                <a:t>И</a:t>
              </a:r>
              <a:r>
                <a:rPr lang="ru-RU" sz="1100" baseline="0"/>
                <a:t> хотя бы для одного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𝑖</m:t>
                  </m:r>
                </m:oMath>
              </a14:m>
              <a:r>
                <a:rPr lang="ru-RU" sz="1100"/>
                <a:t> выполнено строгое</a:t>
              </a:r>
              <a:r>
                <a:rPr lang="ru-RU" sz="1100" baseline="0"/>
                <a:t> неравенство</a:t>
              </a:r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F23E8EA-273C-4E52-8F0C-45EF0DD2C43F}"/>
                </a:ext>
              </a:extLst>
            </xdr:cNvPr>
            <xdr:cNvSpPr txBox="1"/>
          </xdr:nvSpPr>
          <xdr:spPr>
            <a:xfrm>
              <a:off x="1724025" y="5410200"/>
              <a:ext cx="3848100" cy="1200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Методы сходятся, если</a:t>
              </a:r>
              <a:r>
                <a:rPr lang="ru-RU" sz="1100" baseline="0"/>
                <a:t> </a:t>
              </a:r>
            </a:p>
            <a:p>
              <a:r>
                <a:rPr lang="ru-RU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𝑗=1</a:t>
              </a:r>
              <a:r>
                <a:rPr lang="ru-RU" sz="1100" b="0" i="0">
                  <a:latin typeface="Cambria Math" panose="02040503050406030204" pitchFamily="18" charset="0"/>
                </a:rPr>
                <a:t>)^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▒〖</a:t>
              </a:r>
              <a:r>
                <a:rPr lang="en-US" sz="1100" b="0" i="0">
                  <a:latin typeface="Cambria Math" panose="02040503050406030204" pitchFamily="18" charset="0"/>
                </a:rPr>
                <a:t>|𝑎_𝑖𝑗/𝑎_𝑖𝑖 |</a:t>
              </a:r>
              <a:r>
                <a:rPr lang="ru-RU" sz="1100" b="0" i="0">
                  <a:latin typeface="Cambria Math" panose="02040503050406030204" pitchFamily="18" charset="0"/>
                </a:rPr>
                <a:t>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≤1, 𝑖=1,𝑛,  𝑖≠𝑗</a:t>
              </a:r>
              <a:endParaRPr lang="en-US" sz="1100"/>
            </a:p>
            <a:p>
              <a:r>
                <a:rPr lang="ru-RU" sz="1100"/>
                <a:t>И</a:t>
              </a:r>
              <a:r>
                <a:rPr lang="ru-RU" sz="1100" baseline="0"/>
                <a:t> хотя бы для одного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𝑖</a:t>
              </a:r>
              <a:r>
                <a:rPr lang="ru-RU" sz="1100"/>
                <a:t> выполнено строгое</a:t>
              </a:r>
              <a:r>
                <a:rPr lang="ru-RU" sz="1100" baseline="0"/>
                <a:t> неравенство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12</xdr:col>
      <xdr:colOff>514350</xdr:colOff>
      <xdr:row>3</xdr:row>
      <xdr:rowOff>180975</xdr:rowOff>
    </xdr:from>
    <xdr:to>
      <xdr:col>16</xdr:col>
      <xdr:colOff>390525</xdr:colOff>
      <xdr:row>6</xdr:row>
      <xdr:rowOff>161925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64735C7-1D9B-4A3D-A517-6430E0FD7357}"/>
                </a:ext>
              </a:extLst>
            </xdr:cNvPr>
            <xdr:cNvSpPr txBox="1"/>
          </xdr:nvSpPr>
          <xdr:spPr>
            <a:xfrm>
              <a:off x="9477375" y="800100"/>
              <a:ext cx="2314575" cy="5524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Критерий</a:t>
              </a:r>
              <a:r>
                <a:rPr lang="ru-RU" sz="1100" baseline="0"/>
                <a:t> остановки: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max</m:t>
                            </m:r>
                          </m:e>
                          <m:lim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</m:d>
                          </m:lim>
                        </m:limLow>
                      </m:fName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e>
                                </m:d>
                              </m:sub>
                              <m:sup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−1</m:t>
                                    </m:r>
                                  </m:e>
                                </m:d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</m:sSubSup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𝜀</m:t>
                        </m:r>
                      </m:e>
                    </m:func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64735C7-1D9B-4A3D-A517-6430E0FD7357}"/>
                </a:ext>
              </a:extLst>
            </xdr:cNvPr>
            <xdr:cNvSpPr txBox="1"/>
          </xdr:nvSpPr>
          <xdr:spPr>
            <a:xfrm>
              <a:off x="9477375" y="800100"/>
              <a:ext cx="2314575" cy="5524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Критерий</a:t>
              </a:r>
              <a:r>
                <a:rPr lang="ru-RU" sz="1100" baseline="0"/>
                <a:t> остановки: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max_{𝑖} ⁡〖|𝑥_{𝑖}^{𝑛−1} −𝑥_𝑖^𝑛 |&lt;𝜀〗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1438275</xdr:colOff>
      <xdr:row>1</xdr:row>
      <xdr:rowOff>19050</xdr:rowOff>
    </xdr:from>
    <xdr:to>
      <xdr:col>6</xdr:col>
      <xdr:colOff>381000</xdr:colOff>
      <xdr:row>4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1756250-46E5-415F-8B6E-747D9B004196}"/>
                </a:ext>
              </a:extLst>
            </xdr:cNvPr>
            <xdr:cNvSpPr txBox="1"/>
          </xdr:nvSpPr>
          <xdr:spPr>
            <a:xfrm>
              <a:off x="2657475" y="209550"/>
              <a:ext cx="2228850" cy="6381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Начальные</a:t>
              </a:r>
              <a:r>
                <a:rPr lang="ru-RU" sz="1100" baseline="0"/>
                <a:t> приближения: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𝑖𝑖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1756250-46E5-415F-8B6E-747D9B004196}"/>
                </a:ext>
              </a:extLst>
            </xdr:cNvPr>
            <xdr:cNvSpPr txBox="1"/>
          </xdr:nvSpPr>
          <xdr:spPr>
            <a:xfrm>
              <a:off x="2657475" y="209550"/>
              <a:ext cx="2228850" cy="6381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Начальные</a:t>
              </a:r>
              <a:r>
                <a:rPr lang="ru-RU" sz="1100" baseline="0"/>
                <a:t> приближения: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𝑥_𝑖^0=𝑑_𝑖𝑖/𝑎_𝑖𝑖   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3</xdr:col>
      <xdr:colOff>28576</xdr:colOff>
      <xdr:row>5</xdr:row>
      <xdr:rowOff>104775</xdr:rowOff>
    </xdr:from>
    <xdr:to>
      <xdr:col>6</xdr:col>
      <xdr:colOff>676276</xdr:colOff>
      <xdr:row>14</xdr:row>
      <xdr:rowOff>9525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C502DEA-BD89-4DAB-B975-F4CD7217F94F}"/>
                </a:ext>
              </a:extLst>
            </xdr:cNvPr>
            <xdr:cNvSpPr txBox="1"/>
          </xdr:nvSpPr>
          <xdr:spPr>
            <a:xfrm>
              <a:off x="2705101" y="1104900"/>
              <a:ext cx="2476500" cy="1619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Итерационный</a:t>
              </a:r>
              <a:r>
                <a:rPr lang="ru-RU" sz="1100" baseline="0"/>
                <a:t> процесс: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𝑖𝑖</m:t>
                                </m:r>
                              </m:sub>
                            </m:sSub>
                          </m:den>
                        </m:f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b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где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C502DEA-BD89-4DAB-B975-F4CD7217F94F}"/>
                </a:ext>
              </a:extLst>
            </xdr:cNvPr>
            <xdr:cNvSpPr txBox="1"/>
          </xdr:nvSpPr>
          <xdr:spPr>
            <a:xfrm>
              <a:off x="2705101" y="1104900"/>
              <a:ext cx="2476500" cy="1619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Итерационный</a:t>
              </a:r>
              <a:r>
                <a:rPr lang="ru-RU" sz="1100" baseline="0"/>
                <a:t> процесс: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𝑥_𝑖^(𝑛+1)=𝑥_𝑖^0−∑24_(𝑗=1)^𝑛▒〖𝑎_𝑖𝑗/𝑎_𝑖𝑖  𝑥_𝑗^𝑛, </a:t>
              </a:r>
              <a:r>
                <a:rPr lang="ru-RU" sz="1100" b="0" i="0">
                  <a:latin typeface="Cambria Math" panose="02040503050406030204" pitchFamily="18" charset="0"/>
                </a:rPr>
                <a:t>где </a:t>
              </a:r>
              <a:r>
                <a:rPr lang="en-US" sz="1100" b="0" i="0">
                  <a:latin typeface="Cambria Math" panose="02040503050406030204" pitchFamily="18" charset="0"/>
                </a:rPr>
                <a:t>𝑖≠𝑗 〗  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24</xdr:col>
      <xdr:colOff>0</xdr:colOff>
      <xdr:row>2</xdr:row>
      <xdr:rowOff>0</xdr:rowOff>
    </xdr:from>
    <xdr:to>
      <xdr:col>27</xdr:col>
      <xdr:colOff>400050</xdr:colOff>
      <xdr:row>5</xdr:row>
      <xdr:rowOff>66675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B7CEFF7-CBCE-4DFE-AB77-D5151C681822}"/>
                </a:ext>
              </a:extLst>
            </xdr:cNvPr>
            <xdr:cNvSpPr txBox="1"/>
          </xdr:nvSpPr>
          <xdr:spPr>
            <a:xfrm>
              <a:off x="16935450" y="428625"/>
              <a:ext cx="2228850" cy="6381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Начальные</a:t>
              </a:r>
              <a:r>
                <a:rPr lang="ru-RU" sz="1100" baseline="0"/>
                <a:t> приближения: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𝑖𝑖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B7CEFF7-CBCE-4DFE-AB77-D5151C681822}"/>
                </a:ext>
              </a:extLst>
            </xdr:cNvPr>
            <xdr:cNvSpPr txBox="1"/>
          </xdr:nvSpPr>
          <xdr:spPr>
            <a:xfrm>
              <a:off x="16935450" y="428625"/>
              <a:ext cx="2228850" cy="6381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Начальные</a:t>
              </a:r>
              <a:r>
                <a:rPr lang="ru-RU" sz="1100" baseline="0"/>
                <a:t> приближения: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𝑥_𝑖^0=𝑑_𝑖𝑖/𝑎_𝑖𝑖   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24</xdr:col>
      <xdr:colOff>9525</xdr:colOff>
      <xdr:row>7</xdr:row>
      <xdr:rowOff>28575</xdr:rowOff>
    </xdr:from>
    <xdr:to>
      <xdr:col>28</xdr:col>
      <xdr:colOff>85725</xdr:colOff>
      <xdr:row>19</xdr:row>
      <xdr:rowOff>57151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9020763-CDB3-44FB-BC8F-25D79F933C02}"/>
                </a:ext>
              </a:extLst>
            </xdr:cNvPr>
            <xdr:cNvSpPr txBox="1"/>
          </xdr:nvSpPr>
          <xdr:spPr>
            <a:xfrm>
              <a:off x="16944975" y="1409700"/>
              <a:ext cx="2514600" cy="231457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Итерационный процесс:</a:t>
              </a:r>
              <a:endParaRPr lang="ru-RU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bSup>
                    <m:r>
                      <a:rPr lang="en-US" sz="1100" b="0" i="0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=2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 u="none" strike="noStrike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11</m:t>
                                </m:r>
                              </m:sub>
                            </m:sSub>
                          </m:den>
                        </m:f>
                        <m:sSubSup>
                          <m:sSubSupPr>
                            <m:ctrlP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  <m:sup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e>
                    </m:nary>
                  </m:oMath>
                </m:oMathPara>
              </a14:m>
              <a:endParaRPr lang="ru-RU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bSup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f>
                      <m:f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 u="none" strike="noStrike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22</m:t>
                            </m:r>
                          </m:sub>
                        </m:sSub>
                      </m:den>
                    </m:f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𝑗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22</m:t>
                                </m:r>
                              </m:sub>
                            </m:sSub>
                          </m:den>
                        </m:f>
                        <m:sSubSup>
                          <m:sSubSup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e>
                    </m:nary>
                  </m:oMath>
                </m:oMathPara>
              </a14:m>
              <a:endPara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…..</m:t>
                    </m:r>
                  </m:oMath>
                </m:oMathPara>
              </a14:m>
              <a:endPara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  <m:sup>
                        <m:r>
                          <a:rPr lang="en-US" sz="1100" b="0" i="1" u="none" strike="noStrike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bSup>
                    <m:r>
                      <a:rPr lang="en-US" sz="1100" b="0" i="1" u="none" strike="noStrike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𝑗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𝑛𝑛</m:t>
                                </m:r>
                              </m:sub>
                            </m:sSub>
                          </m:den>
                        </m:f>
                        <m:sSubSup>
                          <m:sSubSup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+1</m:t>
                            </m:r>
                          </m:sup>
                        </m:sSubSup>
                      </m:e>
                    </m:nary>
                  </m:oMath>
                </m:oMathPara>
              </a14:m>
              <a:endParaRPr lang="ru-RU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9020763-CDB3-44FB-BC8F-25D79F933C02}"/>
                </a:ext>
              </a:extLst>
            </xdr:cNvPr>
            <xdr:cNvSpPr txBox="1"/>
          </xdr:nvSpPr>
          <xdr:spPr>
            <a:xfrm>
              <a:off x="16944975" y="1409700"/>
              <a:ext cx="2514600" cy="231457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Итерационный процесс:</a:t>
              </a:r>
              <a:endParaRPr lang="ru-RU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𝑥_1^(𝑛+1)=𝑥_1^0−∑24_(𝑗=2)^𝑛▒〖𝑎_1𝑗/𝑎_11  𝑥_𝑗^𝑛 〗</a:t>
              </a:r>
              <a:endParaRPr lang="ru-RU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𝑥_2^(𝑛+1)=𝑥_2^0−  𝑎_21/𝑎_22  𝑥_1^(𝑛+1)−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∑_(𝑗=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)^𝑛▒〖𝑎_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𝑗/𝑎_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𝑥_𝑗^𝑛 〗</a:t>
              </a:r>
            </a:p>
            <a:p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…..</a:t>
              </a:r>
              <a:endPara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𝑥_𝑛^(𝑛+1)=𝑥_𝑛^0−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∑_(𝑗=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)^(𝑛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)▒〖𝑎_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𝑗/𝑎_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𝑛𝑛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𝑥_𝑗^(𝑛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</a:t>
              </a:r>
              <a:endParaRPr lang="ru-RU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F48E-D36F-4487-9BC4-A3B4155E1AE8}">
  <dimension ref="B2:W31"/>
  <sheetViews>
    <sheetView tabSelected="1" workbookViewId="0">
      <selection activeCell="V29" sqref="V29"/>
    </sheetView>
  </sheetViews>
  <sheetFormatPr defaultRowHeight="15" x14ac:dyDescent="0.25"/>
  <cols>
    <col min="3" max="3" width="21.85546875" customWidth="1"/>
    <col min="7" max="7" width="11.7109375" customWidth="1"/>
    <col min="8" max="8" width="10.42578125" customWidth="1"/>
    <col min="12" max="12" width="18.5703125" customWidth="1"/>
    <col min="15" max="15" width="14" customWidth="1"/>
    <col min="19" max="19" width="11.85546875" customWidth="1"/>
    <col min="21" max="21" width="10.5703125" customWidth="1"/>
    <col min="23" max="23" width="19" customWidth="1"/>
  </cols>
  <sheetData>
    <row r="2" spans="2:23" ht="18.75" x14ac:dyDescent="0.3">
      <c r="B2" t="s">
        <v>0</v>
      </c>
      <c r="C2" t="s">
        <v>31</v>
      </c>
      <c r="H2" s="3" t="s">
        <v>19</v>
      </c>
      <c r="I2" s="3"/>
      <c r="J2" s="3"/>
      <c r="K2" s="3"/>
      <c r="L2" s="3"/>
      <c r="M2" s="3"/>
      <c r="N2" s="3"/>
      <c r="Q2" t="s">
        <v>31</v>
      </c>
      <c r="S2" s="2" t="s">
        <v>32</v>
      </c>
      <c r="T2" s="2"/>
      <c r="U2" s="2"/>
      <c r="V2" s="2"/>
      <c r="W2" s="2"/>
    </row>
    <row r="3" spans="2:23" x14ac:dyDescent="0.25">
      <c r="B3">
        <v>10</v>
      </c>
      <c r="C3">
        <v>1.0000000000000001E-5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Q3">
        <v>1.0000000000000001E-5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2:23" x14ac:dyDescent="0.25">
      <c r="H4">
        <f>C24/C6</f>
        <v>0.27542179662562699</v>
      </c>
      <c r="I4">
        <f>C25/C11</f>
        <v>-0.50964187327823696</v>
      </c>
      <c r="J4">
        <f>C26/C16</f>
        <v>-1.3336248360297332E-2</v>
      </c>
      <c r="K4">
        <f>C27/C21</f>
        <v>7.9702049224764178</v>
      </c>
      <c r="S4">
        <f>C24/C6</f>
        <v>0.27542179662562699</v>
      </c>
      <c r="T4">
        <f>C25/C11</f>
        <v>-0.50964187327823696</v>
      </c>
      <c r="U4">
        <f>C26/C16</f>
        <v>-1.3336248360297332E-2</v>
      </c>
      <c r="V4">
        <f>C27/C21</f>
        <v>7.9702049224764178</v>
      </c>
    </row>
    <row r="5" spans="2:23" x14ac:dyDescent="0.25">
      <c r="C5" t="s">
        <v>1</v>
      </c>
      <c r="H5">
        <f>$H$4-I4*$C$7/$C$6-J4*$C$8/$C$6-K4*$C$9/$C$6</f>
        <v>1.4711215311959895</v>
      </c>
      <c r="I5">
        <f>$I$4-H4*$C$10/$C$11-J4*$C$12/$C$11-K4*$C$13/$C$11</f>
        <v>1.5146923596559421</v>
      </c>
      <c r="J5">
        <f>$J$4-H4*$C$14/$C$16-I4*$C$15/$C$16-K4*$C$17/$C$16</f>
        <v>-0.19414458129695591</v>
      </c>
      <c r="K5">
        <f>$K$4-H4*$C$18/$C$21-I4*$C$19/$C$21-J4*$C$20/$C$21</f>
        <v>8.0580227768067765</v>
      </c>
      <c r="L5" t="str">
        <f>IF( MAX(ABS(H5-H4),ABS(I5-I4), ABS(J5-J4), ABS(K5-K4))&lt;$C$3,"Стоп","Продолжаем")</f>
        <v>Продолжаем</v>
      </c>
      <c r="S5">
        <f>$S$4-T4*$O$11/$O$10-U4*$O$12/$O$10-V4*$O$13/$O$10</f>
        <v>1.4711215311959895</v>
      </c>
      <c r="T5">
        <f>$T$4-S5*$O$14/$O$15-U4*$O$16/$O$15-V4*$O$17/$O$15</f>
        <v>1.4778661254066401</v>
      </c>
      <c r="U5">
        <f>$U$4-S5*$O$18/$O$20-T5*$O$19/$O$20-V4*$O$21/$O$20</f>
        <v>-0.22504087497051628</v>
      </c>
      <c r="V5">
        <f>$V$4-S5*$O$22/$O$25-T5*$O$23/$O$25-U5*$O$24/$O$25</f>
        <v>8.0343524307590375</v>
      </c>
      <c r="W5" t="str">
        <f>IF( MAX(ABS(S5-S4),ABS(T5-T4), ABS(U5-U4), ABS(V5-V4))&lt;$C$3,"Стоп","Продолжаем")</f>
        <v>Продолжаем</v>
      </c>
    </row>
    <row r="6" spans="2:23" x14ac:dyDescent="0.25">
      <c r="B6" t="s">
        <v>2</v>
      </c>
      <c r="C6">
        <f>0.3*B3^2-6.6*B3+255.3</f>
        <v>219.3</v>
      </c>
      <c r="H6">
        <f t="shared" ref="H6:H20" si="0">$H$4-I5*$C$7/$C$6-J5*$C$8/$C$6-K5*$C$9/$C$6</f>
        <v>1.3773149238241418</v>
      </c>
      <c r="I6">
        <f t="shared" ref="I6:I20" si="1">$I$4-H5*$C$10/$C$11-J5*$C$12/$C$11-K5*$C$13/$C$11</f>
        <v>1.5847022954361867</v>
      </c>
      <c r="J6">
        <f t="shared" ref="J6:J20" si="2">$J$4-H5*$C$14/$C$16-I5*$C$15/$C$16-K5*$C$17/$C$16</f>
        <v>-0.22721129075391899</v>
      </c>
      <c r="K6">
        <f t="shared" ref="K6:K20" si="3">$K$4-H5*$C$18/$C$21-I5*$C$19/$C$21-J5*$C$20/$C$21</f>
        <v>8.0525626114048361</v>
      </c>
      <c r="L6" t="str">
        <f t="shared" ref="L6:L20" si="4">IF( MAX(ABS(H6-H5),ABS(I6-I5), ABS(J6-J5), ABS(K6-K5))&lt;$C$3,"Стоп","Продолжаем")</f>
        <v>Продолжаем</v>
      </c>
      <c r="S6">
        <f t="shared" ref="S6:S9" si="5">$S$4-T5*$O$11/$O$10-U5*$O$12/$O$10-V5*$O$13/$O$10</f>
        <v>1.3755425998143247</v>
      </c>
      <c r="T6">
        <f t="shared" ref="T6:T9" si="6">$T$4-S6*$O$14/$O$15-U5*$O$16/$O$15-V5*$O$17/$O$15</f>
        <v>1.5960677629218534</v>
      </c>
      <c r="U6">
        <f t="shared" ref="U6:U9" si="7">$U$4-S6*$O$18/$O$20-T6*$O$19/$O$20-V5*$O$21/$O$20</f>
        <v>-0.22550862202349156</v>
      </c>
      <c r="V6">
        <f t="shared" ref="V6:V9" si="8">$V$4-S6*$O$22/$O$25-T6*$O$23/$O$25-U6*$O$24/$O$25</f>
        <v>8.0046437902930752</v>
      </c>
      <c r="W6" t="str">
        <f t="shared" ref="W6:W9" si="9">IF( MAX(ABS(S6-S5),ABS(T6-T5), ABS(U6-U5), ABS(V6-V5))&lt;$C$3,"Стоп","Продолжаем")</f>
        <v>Продолжаем</v>
      </c>
    </row>
    <row r="7" spans="2:23" x14ac:dyDescent="0.25">
      <c r="B7" t="s">
        <v>3</v>
      </c>
      <c r="C7">
        <f xml:space="preserve"> - 0.02*B3^2+0.44*B3+9.02</f>
        <v>11.42</v>
      </c>
      <c r="H7">
        <f t="shared" si="0"/>
        <v>1.372635339203425</v>
      </c>
      <c r="I7">
        <f t="shared" si="1"/>
        <v>1.6016578946931748</v>
      </c>
      <c r="J7">
        <f t="shared" si="2"/>
        <v>-0.2258858658305799</v>
      </c>
      <c r="K7">
        <f t="shared" si="3"/>
        <v>8.0046974779726039</v>
      </c>
      <c r="L7" t="str">
        <f t="shared" si="4"/>
        <v>Продолжаем</v>
      </c>
      <c r="S7">
        <f t="shared" si="5"/>
        <v>1.3650256308998494</v>
      </c>
      <c r="T7">
        <f t="shared" si="6"/>
        <v>1.5890562757661053</v>
      </c>
      <c r="U7">
        <f t="shared" si="7"/>
        <v>-0.2246265351260624</v>
      </c>
      <c r="V7">
        <f t="shared" si="8"/>
        <v>8.0034399946710817</v>
      </c>
      <c r="W7" t="str">
        <f t="shared" si="9"/>
        <v>Продолжаем</v>
      </c>
    </row>
    <row r="8" spans="2:23" x14ac:dyDescent="0.25">
      <c r="B8" t="s">
        <v>4</v>
      </c>
      <c r="C8">
        <f>0.016*B3^2 -0.352*B3+0.376</f>
        <v>-1.5439999999999996</v>
      </c>
      <c r="H8">
        <f t="shared" si="0"/>
        <v>1.3647397461335895</v>
      </c>
      <c r="I8">
        <f t="shared" si="1"/>
        <v>1.5890118736126535</v>
      </c>
      <c r="J8">
        <f t="shared" si="2"/>
        <v>-0.22482411562038179</v>
      </c>
      <c r="K8">
        <f t="shared" si="3"/>
        <v>8.0033521363273863</v>
      </c>
      <c r="L8" t="str">
        <f t="shared" si="4"/>
        <v>Продолжаем</v>
      </c>
      <c r="S8">
        <f t="shared" si="5"/>
        <v>1.3652203623760806</v>
      </c>
      <c r="T8">
        <f t="shared" si="6"/>
        <v>1.5883319168216645</v>
      </c>
      <c r="U8">
        <f t="shared" si="7"/>
        <v>-0.22459887922515392</v>
      </c>
      <c r="V8">
        <f t="shared" si="8"/>
        <v>8.0035532102223428</v>
      </c>
      <c r="W8" t="str">
        <f t="shared" si="9"/>
        <v>Продолжаем</v>
      </c>
    </row>
    <row r="9" spans="2:23" ht="30" x14ac:dyDescent="0.25">
      <c r="B9" t="s">
        <v>11</v>
      </c>
      <c r="C9">
        <f>0.028*B3^2-0.616*B3-28.812</f>
        <v>-32.172000000000004</v>
      </c>
      <c r="H9">
        <f t="shared" si="0"/>
        <v>1.3652083944311462</v>
      </c>
      <c r="I9">
        <f t="shared" si="1"/>
        <v>1.5884167252820889</v>
      </c>
      <c r="J9">
        <f t="shared" si="2"/>
        <v>-0.22459248038930926</v>
      </c>
      <c r="K9">
        <f t="shared" si="3"/>
        <v>8.0032472712965461</v>
      </c>
      <c r="L9" t="str">
        <f t="shared" si="4"/>
        <v>Продолжаем</v>
      </c>
      <c r="O9" s="6" t="s">
        <v>1</v>
      </c>
      <c r="S9">
        <f t="shared" si="5"/>
        <v>1.3652748870024904</v>
      </c>
      <c r="T9">
        <f t="shared" si="6"/>
        <v>1.5883460989426286</v>
      </c>
      <c r="U9">
        <f t="shared" si="7"/>
        <v>-0.22460241647997026</v>
      </c>
      <c r="V9">
        <f t="shared" si="8"/>
        <v>8.0035617396600838</v>
      </c>
      <c r="W9" t="str">
        <f t="shared" si="9"/>
        <v>Продолжаем</v>
      </c>
    </row>
    <row r="10" spans="2:23" x14ac:dyDescent="0.25">
      <c r="B10" t="s">
        <v>5</v>
      </c>
      <c r="C10">
        <f>0.016*B3^2-0.352*B3-0.316</f>
        <v>-2.2359999999999993</v>
      </c>
      <c r="H10">
        <f t="shared" si="0"/>
        <v>1.3652256334688098</v>
      </c>
      <c r="I10">
        <f t="shared" si="1"/>
        <v>1.5882673650517392</v>
      </c>
      <c r="J10">
        <f t="shared" si="2"/>
        <v>-0.22459480946137819</v>
      </c>
      <c r="K10">
        <f t="shared" si="3"/>
        <v>8.0035488288515104</v>
      </c>
      <c r="L10" t="str">
        <f t="shared" si="4"/>
        <v>Продолжаем</v>
      </c>
      <c r="N10" t="s">
        <v>2</v>
      </c>
      <c r="O10">
        <v>219.3</v>
      </c>
      <c r="S10" s="5">
        <f t="shared" ref="S6:S13" si="10">$S$4-T9*$O$11/$O$10-U9*$O$12/$O$10-V9*$O$13/$O$10</f>
        <v>1.3652753748626281</v>
      </c>
      <c r="T10" s="5">
        <f t="shared" ref="T6:T13" si="11">$T$4-S10*$O$14/$O$15-U9*$O$16/$O$15-V9*$O$17/$O$15</f>
        <v>1.5883499059494584</v>
      </c>
      <c r="U10" s="5">
        <f t="shared" ref="U6:U13" si="12">$U$4-S10*$O$18/$O$20-T10*$O$19/$O$20-V9*$O$21/$O$20</f>
        <v>-0.22460263675235603</v>
      </c>
      <c r="V10" s="5">
        <f t="shared" ref="V6:V13" si="13">$V$4-S10*$O$22/$O$25-T10*$O$23/$O$25-U10*$O$24/$O$25</f>
        <v>8.0035614248405231</v>
      </c>
      <c r="W10" t="str">
        <f t="shared" ref="W6:W13" si="14">IF( MAX(ABS(S10-S9),ABS(T10-T9), ABS(U10-U9), ABS(V10-V9))&lt;$C$3,"Стоп","Продолжаем")</f>
        <v>Стоп</v>
      </c>
    </row>
    <row r="11" spans="2:23" x14ac:dyDescent="0.25">
      <c r="B11" t="s">
        <v>6</v>
      </c>
      <c r="C11">
        <f>0.4*B3^2-8.8*B3-24.6</f>
        <v>-72.599999999999994</v>
      </c>
      <c r="H11">
        <f t="shared" si="0"/>
        <v>1.3652776344145534</v>
      </c>
      <c r="I11">
        <f t="shared" si="1"/>
        <v>1.5883445997080732</v>
      </c>
      <c r="J11">
        <f t="shared" si="2"/>
        <v>-0.22460106238543887</v>
      </c>
      <c r="K11">
        <f t="shared" si="3"/>
        <v>8.0035617383683046</v>
      </c>
      <c r="L11" t="str">
        <f t="shared" si="4"/>
        <v>Продолжаем</v>
      </c>
      <c r="N11" t="s">
        <v>3</v>
      </c>
      <c r="O11">
        <v>11.42</v>
      </c>
      <c r="S11" s="7">
        <f t="shared" si="10"/>
        <v>1.3652751288777056</v>
      </c>
      <c r="T11" s="7">
        <f t="shared" si="11"/>
        <v>1.5883499364279128</v>
      </c>
      <c r="U11" s="7">
        <f t="shared" si="12"/>
        <v>-0.22460262570345296</v>
      </c>
      <c r="V11" s="7">
        <f t="shared" si="13"/>
        <v>8.0035613762751154</v>
      </c>
      <c r="W11" t="str">
        <f t="shared" si="14"/>
        <v>Стоп</v>
      </c>
    </row>
    <row r="12" spans="2:23" x14ac:dyDescent="0.25">
      <c r="B12" t="s">
        <v>7</v>
      </c>
      <c r="C12">
        <f>0.028*B3^2-0.616*B3-30.572</f>
        <v>-33.932000000000002</v>
      </c>
      <c r="H12" s="5">
        <f t="shared" si="0"/>
        <v>1.3652754622790506</v>
      </c>
      <c r="I12" s="5">
        <f t="shared" si="1"/>
        <v>1.5883492031486319</v>
      </c>
      <c r="J12" s="5">
        <f t="shared" si="2"/>
        <v>-0.22460264613331943</v>
      </c>
      <c r="K12" s="5">
        <f t="shared" si="3"/>
        <v>8.0035633622634634</v>
      </c>
      <c r="L12" s="5" t="str">
        <f t="shared" si="4"/>
        <v>Стоп</v>
      </c>
      <c r="N12" t="s">
        <v>4</v>
      </c>
      <c r="O12">
        <v>-1.5439999999999996</v>
      </c>
      <c r="S12">
        <f t="shared" si="10"/>
        <v>1.3652751202436395</v>
      </c>
      <c r="T12">
        <f t="shared" si="11"/>
        <v>1.5883499191810393</v>
      </c>
      <c r="U12">
        <f t="shared" si="12"/>
        <v>-0.22460262437447936</v>
      </c>
      <c r="V12">
        <f t="shared" si="13"/>
        <v>8.0035613765188192</v>
      </c>
      <c r="W12" t="str">
        <f t="shared" si="14"/>
        <v>Стоп</v>
      </c>
    </row>
    <row r="13" spans="2:23" x14ac:dyDescent="0.25">
      <c r="B13" t="s">
        <v>12</v>
      </c>
      <c r="C13">
        <f>0.02*B3^2+0.44*B3+12.06</f>
        <v>18.46</v>
      </c>
      <c r="H13">
        <f t="shared" si="0"/>
        <v>1.3652754496359005</v>
      </c>
      <c r="I13">
        <f t="shared" si="1"/>
        <v>1.5883504231724983</v>
      </c>
      <c r="J13">
        <f t="shared" si="2"/>
        <v>-0.22460267085281183</v>
      </c>
      <c r="K13">
        <f t="shared" si="3"/>
        <v>8.0035614880289323</v>
      </c>
      <c r="L13" t="str">
        <f t="shared" si="4"/>
        <v>Стоп</v>
      </c>
      <c r="N13" t="s">
        <v>11</v>
      </c>
      <c r="O13">
        <v>-32.172000000000004</v>
      </c>
      <c r="S13">
        <f t="shared" si="10"/>
        <v>1.3652751211868754</v>
      </c>
      <c r="T13">
        <f t="shared" si="11"/>
        <v>1.5883499185928154</v>
      </c>
      <c r="U13">
        <f t="shared" si="12"/>
        <v>-0.22460262439267051</v>
      </c>
      <c r="V13">
        <f t="shared" si="13"/>
        <v>8.0035613767551528</v>
      </c>
      <c r="W13" t="str">
        <f t="shared" si="14"/>
        <v>Стоп</v>
      </c>
    </row>
    <row r="14" spans="2:23" x14ac:dyDescent="0.25">
      <c r="B14" t="s">
        <v>8</v>
      </c>
      <c r="C14">
        <f>0.02*B3^2-0.46*B3-12.82</f>
        <v>-15.420000000000002</v>
      </c>
      <c r="H14">
        <f t="shared" si="0"/>
        <v>1.3652751109732795</v>
      </c>
      <c r="I14">
        <f t="shared" si="1"/>
        <v>1.5883499585537997</v>
      </c>
      <c r="J14">
        <f t="shared" si="2"/>
        <v>-0.2246026351592835</v>
      </c>
      <c r="K14">
        <f t="shared" si="3"/>
        <v>8.0035613811106181</v>
      </c>
      <c r="L14" t="str">
        <f t="shared" si="4"/>
        <v>Стоп</v>
      </c>
      <c r="N14" t="s">
        <v>5</v>
      </c>
      <c r="O14">
        <v>-2.2359999999999993</v>
      </c>
    </row>
    <row r="15" spans="2:23" x14ac:dyDescent="0.25">
      <c r="B15" t="s">
        <v>9</v>
      </c>
      <c r="C15">
        <f>0.016*B3^2-0.352*B3-3.024</f>
        <v>-4.9439999999999991</v>
      </c>
      <c r="N15" t="s">
        <v>6</v>
      </c>
      <c r="O15">
        <v>-72.599999999999994</v>
      </c>
    </row>
    <row r="16" spans="2:23" x14ac:dyDescent="0.25">
      <c r="B16" t="s">
        <v>10</v>
      </c>
      <c r="C16">
        <f>0.7*B3^2-15.4*B3-830.8</f>
        <v>-914.8</v>
      </c>
      <c r="N16" t="s">
        <v>7</v>
      </c>
      <c r="O16">
        <v>-33.932000000000002</v>
      </c>
    </row>
    <row r="17" spans="2:15" x14ac:dyDescent="0.25">
      <c r="B17" t="s">
        <v>13</v>
      </c>
      <c r="C17">
        <f>0.024*B3^2-0.528*B3-17.656</f>
        <v>-20.535999999999998</v>
      </c>
      <c r="N17" t="s">
        <v>12</v>
      </c>
      <c r="O17">
        <v>18.46</v>
      </c>
    </row>
    <row r="18" spans="2:15" x14ac:dyDescent="0.25">
      <c r="B18" t="s">
        <v>14</v>
      </c>
      <c r="C18">
        <f>0.336*B3^2-7.392*B3+242.176</f>
        <v>201.85599999999999</v>
      </c>
      <c r="N18" t="s">
        <v>8</v>
      </c>
      <c r="O18">
        <v>-15.420000000000002</v>
      </c>
    </row>
    <row r="19" spans="2:15" x14ac:dyDescent="0.25">
      <c r="B19" t="s">
        <v>15</v>
      </c>
      <c r="C19">
        <f>0.396*B3^2-8.712*B3-18.604</f>
        <v>-66.123999999999995</v>
      </c>
      <c r="N19" t="s">
        <v>9</v>
      </c>
      <c r="O19">
        <v>-4.9439999999999991</v>
      </c>
    </row>
    <row r="20" spans="2:15" x14ac:dyDescent="0.25">
      <c r="B20" t="s">
        <v>16</v>
      </c>
      <c r="C20">
        <f>-0.744*B3^2-16.368*B3+860.496</f>
        <v>622.41599999999994</v>
      </c>
      <c r="N20" t="s">
        <v>10</v>
      </c>
      <c r="O20">
        <v>-914.8</v>
      </c>
    </row>
    <row r="21" spans="2:15" x14ac:dyDescent="0.25">
      <c r="B21" t="s">
        <v>17</v>
      </c>
      <c r="C21">
        <f>-0.7*B3^2-15.4*B3-698.3</f>
        <v>-922.3</v>
      </c>
      <c r="N21" t="s">
        <v>13</v>
      </c>
      <c r="O21">
        <v>-20.535999999999998</v>
      </c>
    </row>
    <row r="22" spans="2:15" x14ac:dyDescent="0.25">
      <c r="N22" t="s">
        <v>14</v>
      </c>
      <c r="O22">
        <v>201.85599999999999</v>
      </c>
    </row>
    <row r="23" spans="2:15" x14ac:dyDescent="0.25">
      <c r="C23" t="s">
        <v>18</v>
      </c>
      <c r="G23" s="4" t="s">
        <v>25</v>
      </c>
      <c r="H23" s="4"/>
      <c r="I23" s="4"/>
      <c r="J23" s="4"/>
      <c r="K23" s="4"/>
      <c r="N23" t="s">
        <v>15</v>
      </c>
      <c r="O23">
        <v>-66.123999999999995</v>
      </c>
    </row>
    <row r="24" spans="2:15" x14ac:dyDescent="0.25">
      <c r="B24" t="s">
        <v>27</v>
      </c>
      <c r="C24">
        <f>-0.2*B3+62.4</f>
        <v>60.4</v>
      </c>
      <c r="H24">
        <f>SUM(ABS(C7),ABS(C8),ABS(C9))</f>
        <v>45.136000000000003</v>
      </c>
      <c r="I24" s="1" t="s">
        <v>26</v>
      </c>
      <c r="J24">
        <f>ABS(C6)</f>
        <v>219.3</v>
      </c>
      <c r="N24" t="s">
        <v>16</v>
      </c>
      <c r="O24">
        <v>622.41599999999994</v>
      </c>
    </row>
    <row r="25" spans="2:15" x14ac:dyDescent="0.25">
      <c r="B25" t="s">
        <v>28</v>
      </c>
      <c r="C25">
        <f>-0.4*B3+41</f>
        <v>37</v>
      </c>
      <c r="H25">
        <f>SUM(ABS(C10),ABS(C12),ABS(C13))</f>
        <v>54.628</v>
      </c>
      <c r="I25" s="1" t="s">
        <v>26</v>
      </c>
      <c r="J25">
        <f>ABS(C11)</f>
        <v>72.599999999999994</v>
      </c>
      <c r="N25" t="s">
        <v>17</v>
      </c>
      <c r="O25">
        <v>-922.3</v>
      </c>
    </row>
    <row r="26" spans="2:15" x14ac:dyDescent="0.25">
      <c r="B26" t="s">
        <v>29</v>
      </c>
      <c r="C26">
        <f>-0.6*B3+18.2</f>
        <v>12.2</v>
      </c>
      <c r="H26">
        <f>SUM(ABS(C14),ABS(C15),ABS(C17))</f>
        <v>40.9</v>
      </c>
      <c r="I26" s="1" t="s">
        <v>26</v>
      </c>
      <c r="J26">
        <f>ABS(C16)</f>
        <v>914.8</v>
      </c>
    </row>
    <row r="27" spans="2:15" ht="60" x14ac:dyDescent="0.25">
      <c r="B27" t="s">
        <v>30</v>
      </c>
      <c r="C27">
        <f>0.668*B3^3-14.696*B3^2-665.092*B3+101.6</f>
        <v>-7350.92</v>
      </c>
      <c r="H27">
        <f>SUM(ABS(C18),ABS(C19),ABS(C20))</f>
        <v>890.39599999999996</v>
      </c>
      <c r="I27" s="1" t="s">
        <v>26</v>
      </c>
      <c r="J27">
        <f>ABS(C21)</f>
        <v>922.3</v>
      </c>
      <c r="O27" s="6" t="s">
        <v>18</v>
      </c>
    </row>
    <row r="28" spans="2:15" x14ac:dyDescent="0.25">
      <c r="N28" t="s">
        <v>27</v>
      </c>
      <c r="O28">
        <v>60.4</v>
      </c>
    </row>
    <row r="29" spans="2:15" x14ac:dyDescent="0.25">
      <c r="N29" t="s">
        <v>28</v>
      </c>
      <c r="O29">
        <v>37</v>
      </c>
    </row>
    <row r="30" spans="2:15" x14ac:dyDescent="0.25">
      <c r="N30" t="s">
        <v>29</v>
      </c>
      <c r="O30">
        <v>12.2</v>
      </c>
    </row>
    <row r="31" spans="2:15" x14ac:dyDescent="0.25">
      <c r="N31" t="s">
        <v>30</v>
      </c>
      <c r="O31">
        <v>-7350.92</v>
      </c>
    </row>
  </sheetData>
  <mergeCells count="3">
    <mergeCell ref="H2:N2"/>
    <mergeCell ref="G23:K23"/>
    <mergeCell ref="S2:W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Косован</dc:creator>
  <cp:lastModifiedBy>Михаил Косован</cp:lastModifiedBy>
  <dcterms:created xsi:type="dcterms:W3CDTF">2020-10-13T14:42:29Z</dcterms:created>
  <dcterms:modified xsi:type="dcterms:W3CDTF">2020-10-13T16:19:17Z</dcterms:modified>
</cp:coreProperties>
</file>