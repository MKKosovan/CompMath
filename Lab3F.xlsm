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ikha\Desktop\GUU\4course1\ЧМ\"/>
    </mc:Choice>
  </mc:AlternateContent>
  <xr:revisionPtr revIDLastSave="0" documentId="13_ncr:1_{578A42F4-2373-4743-B40A-392AF23A8AB6}" xr6:coauthVersionLast="45" xr6:coauthVersionMax="45" xr10:uidLastSave="{00000000-0000-0000-0000-000000000000}"/>
  <bookViews>
    <workbookView xWindow="-120" yWindow="-120" windowWidth="29040" windowHeight="15840" xr2:uid="{D9661184-80DE-4216-AD08-1DB416CF82D6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6" i="1" l="1"/>
  <c r="AB16" i="1"/>
  <c r="Y8" i="1"/>
  <c r="AB17" i="1" s="1"/>
  <c r="I13" i="1"/>
  <c r="I14" i="1" s="1"/>
  <c r="I15" i="1" s="1"/>
  <c r="I16" i="1" s="1"/>
  <c r="I17" i="1" s="1"/>
  <c r="I18" i="1" s="1"/>
  <c r="I19" i="1" s="1"/>
  <c r="E11" i="1"/>
  <c r="E12" i="1" s="1"/>
  <c r="E13" i="1" s="1"/>
  <c r="E14" i="1" s="1"/>
  <c r="E15" i="1" s="1"/>
  <c r="E16" i="1" s="1"/>
  <c r="E17" i="1" s="1"/>
  <c r="Y9" i="1" l="1"/>
  <c r="Z9" i="1"/>
  <c r="AC18" i="1" s="1"/>
  <c r="Z8" i="1"/>
  <c r="AC17" i="1" s="1"/>
  <c r="AD17" i="1" s="1"/>
  <c r="Z7" i="1"/>
  <c r="P31" i="1" a="1"/>
  <c r="P39" i="1" a="1"/>
  <c r="P27" i="1" a="1"/>
  <c r="P38" i="1" a="1"/>
  <c r="P19" i="1" a="1"/>
  <c r="P29" i="1" a="1"/>
  <c r="P30" i="1" a="1"/>
  <c r="P18" i="1" a="1"/>
  <c r="P36" i="1" a="1"/>
  <c r="P22" i="1" a="1"/>
  <c r="P21" i="1" a="1"/>
  <c r="P35" i="1" a="1"/>
  <c r="P34" i="1" a="1"/>
  <c r="P40" i="1" a="1"/>
  <c r="P28" i="1" a="1"/>
  <c r="P32" i="1" a="1"/>
  <c r="P25" i="1" a="1"/>
  <c r="P26" i="1" a="1"/>
  <c r="P24" i="1" a="1"/>
  <c r="P20" i="1" a="1"/>
  <c r="P37" i="1" a="1"/>
  <c r="P33" i="1" a="1"/>
  <c r="P23" i="1" a="1"/>
  <c r="Y10" i="1" l="1"/>
  <c r="AB18" i="1"/>
  <c r="AD18" i="1" s="1"/>
  <c r="AE18" i="1" s="1"/>
  <c r="P35" i="1"/>
  <c r="P28" i="1"/>
  <c r="P27" i="1"/>
  <c r="P21" i="1"/>
  <c r="P20" i="1"/>
  <c r="P26" i="1"/>
  <c r="P29" i="1"/>
  <c r="P34" i="1"/>
  <c r="P39" i="1"/>
  <c r="P37" i="1"/>
  <c r="P31" i="1"/>
  <c r="P19" i="1"/>
  <c r="P23" i="1"/>
  <c r="P22" i="1"/>
  <c r="P38" i="1"/>
  <c r="P25" i="1"/>
  <c r="P40" i="1"/>
  <c r="P33" i="1"/>
  <c r="P32" i="1"/>
  <c r="P36" i="1"/>
  <c r="P30" i="1"/>
  <c r="P24" i="1"/>
  <c r="P18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J19" i="1"/>
  <c r="C19" i="1"/>
  <c r="J18" i="1"/>
  <c r="C18" i="1"/>
  <c r="J17" i="1"/>
  <c r="F17" i="1"/>
  <c r="C17" i="1"/>
  <c r="J16" i="1"/>
  <c r="F16" i="1"/>
  <c r="C16" i="1"/>
  <c r="J15" i="1"/>
  <c r="F15" i="1"/>
  <c r="C15" i="1"/>
  <c r="J14" i="1"/>
  <c r="F14" i="1"/>
  <c r="C14" i="1"/>
  <c r="J13" i="1"/>
  <c r="F13" i="1"/>
  <c r="G44" i="1" s="1"/>
  <c r="C13" i="1"/>
  <c r="J12" i="1"/>
  <c r="F12" i="1"/>
  <c r="C12" i="1"/>
  <c r="F11" i="1"/>
  <c r="C11" i="1"/>
  <c r="F10" i="1"/>
  <c r="C10" i="1"/>
  <c r="P17" i="1" a="1"/>
  <c r="Y11" i="1" l="1"/>
  <c r="AB19" i="1"/>
  <c r="Z10" i="1"/>
  <c r="AC19" i="1" s="1"/>
  <c r="AD19" i="1" s="1"/>
  <c r="AE19" i="1" s="1"/>
  <c r="AF19" i="1" s="1"/>
  <c r="G37" i="1"/>
  <c r="M11" i="1" a="1"/>
  <c r="G53" i="1"/>
  <c r="G51" i="1"/>
  <c r="G45" i="1"/>
  <c r="G38" i="1"/>
  <c r="G32" i="1"/>
  <c r="G30" i="1"/>
  <c r="G33" i="1"/>
  <c r="G34" i="1"/>
  <c r="P17" i="1"/>
  <c r="G46" i="1"/>
  <c r="G52" i="1"/>
  <c r="G47" i="1"/>
  <c r="G42" i="1"/>
  <c r="G48" i="1"/>
  <c r="G35" i="1"/>
  <c r="G31" i="1"/>
  <c r="G39" i="1"/>
  <c r="G43" i="1"/>
  <c r="G49" i="1"/>
  <c r="G36" i="1"/>
  <c r="G50" i="1"/>
  <c r="G41" i="1"/>
  <c r="G40" i="1"/>
  <c r="Y12" i="1" l="1"/>
  <c r="AB20" i="1"/>
  <c r="Z11" i="1"/>
  <c r="AC20" i="1" s="1"/>
  <c r="AD20" i="1" s="1"/>
  <c r="AE20" i="1" s="1"/>
  <c r="AF20" i="1" s="1"/>
  <c r="AG20" i="1" s="1"/>
  <c r="M11" i="1"/>
  <c r="M31" i="1" a="1"/>
  <c r="M26" i="1" a="1"/>
  <c r="M24" i="1" a="1"/>
  <c r="M25" i="1" a="1"/>
  <c r="M18" i="1" a="1"/>
  <c r="M30" i="1" a="1"/>
  <c r="M28" i="1" a="1"/>
  <c r="M19" i="1" a="1"/>
  <c r="M29" i="1" a="1"/>
  <c r="M17" i="1" a="1"/>
  <c r="M32" i="1" a="1"/>
  <c r="M38" i="1" a="1"/>
  <c r="M27" i="1" a="1"/>
  <c r="M35" i="1" a="1"/>
  <c r="M22" i="1" a="1"/>
  <c r="M37" i="1" a="1"/>
  <c r="M23" i="1" a="1"/>
  <c r="M20" i="1" a="1"/>
  <c r="M33" i="1" a="1"/>
  <c r="M39" i="1" a="1"/>
  <c r="M36" i="1" a="1"/>
  <c r="M40" i="1" a="1"/>
  <c r="M34" i="1" a="1"/>
  <c r="M21" i="1" a="1"/>
  <c r="Y13" i="1" l="1"/>
  <c r="AB21" i="1"/>
  <c r="Z12" i="1"/>
  <c r="AC21" i="1" s="1"/>
  <c r="AD21" i="1" s="1"/>
  <c r="AE21" i="1" s="1"/>
  <c r="AF21" i="1" s="1"/>
  <c r="AG21" i="1" s="1"/>
  <c r="AH21" i="1" s="1"/>
  <c r="M21" i="1"/>
  <c r="M34" i="1"/>
  <c r="M40" i="1"/>
  <c r="M36" i="1"/>
  <c r="M39" i="1"/>
  <c r="M33" i="1"/>
  <c r="M20" i="1"/>
  <c r="M23" i="1"/>
  <c r="M37" i="1"/>
  <c r="M22" i="1"/>
  <c r="M35" i="1"/>
  <c r="M27" i="1"/>
  <c r="M38" i="1"/>
  <c r="M32" i="1"/>
  <c r="M17" i="1"/>
  <c r="M29" i="1"/>
  <c r="M19" i="1"/>
  <c r="M28" i="1"/>
  <c r="M30" i="1"/>
  <c r="M18" i="1"/>
  <c r="M25" i="1"/>
  <c r="M24" i="1"/>
  <c r="M26" i="1"/>
  <c r="M31" i="1"/>
  <c r="Y14" i="1" l="1"/>
  <c r="AB22" i="1"/>
  <c r="Z13" i="1"/>
  <c r="AC22" i="1" s="1"/>
  <c r="AD22" i="1" s="1"/>
  <c r="AE22" i="1" s="1"/>
  <c r="AF22" i="1" s="1"/>
  <c r="AG22" i="1" s="1"/>
  <c r="AH22" i="1" s="1"/>
  <c r="AI22" i="1" s="1"/>
  <c r="AB23" i="1" l="1"/>
  <c r="Z14" i="1"/>
  <c r="AC23" i="1" s="1"/>
  <c r="AD23" i="1" s="1"/>
  <c r="AE23" i="1" s="1"/>
  <c r="AF23" i="1" s="1"/>
  <c r="AG23" i="1" s="1"/>
  <c r="AH23" i="1" s="1"/>
  <c r="AI23" i="1" s="1"/>
  <c r="AJ23" i="1" s="1"/>
  <c r="AD46" i="1" s="1"/>
  <c r="AD45" i="1"/>
  <c r="AD37" i="1"/>
  <c r="AD52" i="1" l="1"/>
  <c r="AD33" i="1"/>
  <c r="AD38" i="1"/>
  <c r="AD34" i="1"/>
  <c r="AD42" i="1"/>
  <c r="AD32" i="1"/>
  <c r="AD51" i="1"/>
  <c r="AD30" i="1"/>
  <c r="AD49" i="1"/>
  <c r="AD48" i="1"/>
  <c r="AD36" i="1"/>
  <c r="AD53" i="1"/>
  <c r="AD43" i="1"/>
  <c r="AD50" i="1"/>
  <c r="AD47" i="1"/>
  <c r="AD31" i="1"/>
  <c r="AD40" i="1"/>
  <c r="AD35" i="1"/>
  <c r="AD44" i="1"/>
  <c r="AD41" i="1"/>
  <c r="AD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<sst xmlns="http://schemas.openxmlformats.org/spreadsheetml/2006/main" count="61" uniqueCount="27">
  <si>
    <t>Кусочно-линейная интерполяция</t>
  </si>
  <si>
    <t>Интерполяция многочленом Лагранжа</t>
  </si>
  <si>
    <t>Условие</t>
  </si>
  <si>
    <t>Уравнение</t>
  </si>
  <si>
    <t>x*lg(x+1)=1</t>
  </si>
  <si>
    <t>Погрешность</t>
  </si>
  <si>
    <t>10^(-3)</t>
  </si>
  <si>
    <t>Исходная функция</t>
  </si>
  <si>
    <t>x</t>
  </si>
  <si>
    <t>y=x*lg(x+1)-1</t>
  </si>
  <si>
    <t>f(x)</t>
  </si>
  <si>
    <t>f(x_i)</t>
  </si>
  <si>
    <t>Ln(x)</t>
  </si>
  <si>
    <t>Промежуток</t>
  </si>
  <si>
    <t>g(x)</t>
  </si>
  <si>
    <t>[-0.999999;0]</t>
  </si>
  <si>
    <t>[0;2]</t>
  </si>
  <si>
    <t>[2;4]</t>
  </si>
  <si>
    <t>[4;6]</t>
  </si>
  <si>
    <t>[6;8]</t>
  </si>
  <si>
    <t>[8;10]</t>
  </si>
  <si>
    <t>[10;12]</t>
  </si>
  <si>
    <t>Интерполяция многочленом Ньютона</t>
  </si>
  <si>
    <t>x_i</t>
  </si>
  <si>
    <t>i</t>
  </si>
  <si>
    <t>H_7 (x)</t>
  </si>
  <si>
    <t>Шаг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</si>
</sst>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1" xfId="0" applyFont="1" applyBorder="1"/>
    <xf numFmtId="0" fontId="4" fillId="0" borderId="0" xfId="0" applyFont="1"/>
    <xf numFmtId="0" fontId="0" fillId="0" borderId="2" xfId="0" applyBorder="1"/>
    <xf numFmtId="164" fontId="4" fillId="0" borderId="1" xfId="0" applyNumberFormat="1" applyFont="1" applyBorder="1"/>
    <xf numFmtId="0" fontId="4" fillId="0" borderId="3" xfId="0" applyFont="1" applyBorder="1"/>
    <xf numFmtId="0" fontId="0" fillId="0" borderId="3" xfId="0" applyBorder="1"/>
    <xf numFmtId="164" fontId="4" fillId="0" borderId="3" xfId="0" applyNumberFormat="1" applyFont="1" applyBorder="1"/>
    <xf numFmtId="0" fontId="0" fillId="0" borderId="4" xfId="0" applyBorder="1"/>
    <xf numFmtId="0" fontId="4" fillId="0" borderId="3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6" xfId="0" applyFill="1" applyBorder="1"/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/>
    <xf numFmtId="0" fontId="5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Сравнительный</a:t>
            </a:r>
            <a:r>
              <a:rPr lang="ru-RU" baseline="0"/>
              <a:t> график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Исходная функция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Лист1!$C$10:$C$33</c:f>
              <c:numCache>
                <c:formatCode>General</c:formatCode>
                <c:ptCount val="24"/>
                <c:pt idx="0">
                  <c:v>3.9999500000019763</c:v>
                </c:pt>
                <c:pt idx="1">
                  <c:v>-0.84948500216800937</c:v>
                </c:pt>
                <c:pt idx="2">
                  <c:v>-0.9999999999565703</c:v>
                </c:pt>
                <c:pt idx="3">
                  <c:v>-0.91196078749737608</c:v>
                </c:pt>
                <c:pt idx="4">
                  <c:v>-0.6989855495065419</c:v>
                </c:pt>
                <c:pt idx="5">
                  <c:v>-0.40311632746529102</c:v>
                </c:pt>
                <c:pt idx="6">
                  <c:v>-4.5795822864864832E-2</c:v>
                </c:pt>
                <c:pt idx="7">
                  <c:v>0.36011885445954328</c:v>
                </c:pt>
                <c:pt idx="8">
                  <c:v>0.80611502965670345</c:v>
                </c:pt>
                <c:pt idx="9">
                  <c:v>1.286164518822301</c:v>
                </c:pt>
                <c:pt idx="10">
                  <c:v>1.7957858412631249</c:v>
                </c:pt>
                <c:pt idx="11">
                  <c:v>2.3315225337368655</c:v>
                </c:pt>
                <c:pt idx="12">
                  <c:v>2.8906308454640706</c:v>
                </c:pt>
                <c:pt idx="13">
                  <c:v>3.4708818148944394</c:v>
                </c:pt>
                <c:pt idx="14">
                  <c:v>4.0704299851257941</c:v>
                </c:pt>
                <c:pt idx="15">
                  <c:v>4.6877230097151843</c:v>
                </c:pt>
                <c:pt idx="16">
                  <c:v>5.3214374449818784</c:v>
                </c:pt>
                <c:pt idx="17">
                  <c:v>5.9704319243978725</c:v>
                </c:pt>
                <c:pt idx="18">
                  <c:v>6.6337122283410501</c:v>
                </c:pt>
                <c:pt idx="19">
                  <c:v>7.310404711255611</c:v>
                </c:pt>
                <c:pt idx="20">
                  <c:v>7.9997357365058921</c:v>
                </c:pt>
                <c:pt idx="21">
                  <c:v>8.7010155175900792</c:v>
                </c:pt>
                <c:pt idx="22">
                  <c:v>9.4136252493033528</c:v>
                </c:pt>
                <c:pt idx="23">
                  <c:v>10.137006734637673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B-4B79-B041-A253B9AC973C}"/>
            </c:ext>
          </c:extLst>
        </c:ser>
        <c:ser>
          <c:idx val="1"/>
          <c:order val="1"/>
          <c:tx>
            <c:v>Кусочно-линейная</c:v>
          </c:tx>
          <c:spPr>
            <a:ln w="31750" cap="rnd">
              <a:solidFill>
                <a:srgbClr val="0070C0">
                  <a:alpha val="66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Лист1!$G$30:$G$53</c:f>
              <c:numCache>
                <c:formatCode>General</c:formatCode>
                <c:ptCount val="24"/>
                <c:pt idx="0">
                  <c:v>4.9999683546518243</c:v>
                </c:pt>
                <c:pt idx="1">
                  <c:v>3.5752559779327218</c:v>
                </c:pt>
                <c:pt idx="2">
                  <c:v>2.1505436012136201</c:v>
                </c:pt>
                <c:pt idx="3">
                  <c:v>-1.0752728872185493</c:v>
                </c:pt>
                <c:pt idx="4">
                  <c:v>-0.69899281598963225</c:v>
                </c:pt>
                <c:pt idx="5">
                  <c:v>-0.3227127447607151</c:v>
                </c:pt>
                <c:pt idx="6">
                  <c:v>5.3567326468202059E-2</c:v>
                </c:pt>
                <c:pt idx="7">
                  <c:v>0.28497319962766332</c:v>
                </c:pt>
                <c:pt idx="8">
                  <c:v>0.80610689929940493</c:v>
                </c:pt>
                <c:pt idx="9">
                  <c:v>1.3272405989711467</c:v>
                </c:pt>
                <c:pt idx="10">
                  <c:v>1.8483742986428884</c:v>
                </c:pt>
                <c:pt idx="11">
                  <c:v>2.2829161828397471</c:v>
                </c:pt>
                <c:pt idx="12">
                  <c:v>2.8906224784856751</c:v>
                </c:pt>
                <c:pt idx="13">
                  <c:v>3.498328774131604</c:v>
                </c:pt>
                <c:pt idx="14">
                  <c:v>4.1060350697775325</c:v>
                </c:pt>
                <c:pt idx="15">
                  <c:v>4.6518498172363367</c:v>
                </c:pt>
                <c:pt idx="16">
                  <c:v>5.3214289750912842</c:v>
                </c:pt>
                <c:pt idx="17">
                  <c:v>5.9910081329462299</c:v>
                </c:pt>
                <c:pt idx="18">
                  <c:v>6.6605872908011765</c:v>
                </c:pt>
                <c:pt idx="19">
                  <c:v>7.2819931176909556</c:v>
                </c:pt>
                <c:pt idx="20">
                  <c:v>7.9997272109578317</c:v>
                </c:pt>
                <c:pt idx="21">
                  <c:v>8.717461304224706</c:v>
                </c:pt>
                <c:pt idx="22">
                  <c:v>9.4351953974915812</c:v>
                </c:pt>
                <c:pt idx="23">
                  <c:v>10.113492808329219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0B-4B79-B041-A253B9AC973C}"/>
            </c:ext>
          </c:extLst>
        </c:ser>
        <c:ser>
          <c:idx val="3"/>
          <c:order val="2"/>
          <c:tx>
            <c:v>Интерполяция Лагранжем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Лист1!$M$17:$M$40</c:f>
              <c:numCache>
                <c:formatCode>General</c:formatCode>
                <c:ptCount val="24"/>
                <c:pt idx="0">
                  <c:v>4.9999208398643189</c:v>
                </c:pt>
                <c:pt idx="1">
                  <c:v>1.8713027999964924</c:v>
                </c:pt>
                <c:pt idx="2">
                  <c:v>0.19044742588159855</c:v>
                </c:pt>
                <c:pt idx="3">
                  <c:v>-0.54685512250346624</c:v>
                </c:pt>
                <c:pt idx="4">
                  <c:v>-0.69897263990774494</c:v>
                </c:pt>
                <c:pt idx="5">
                  <c:v>-0.51072382347903333</c:v>
                </c:pt>
                <c:pt idx="6">
                  <c:v>-0.14081514535872613</c:v>
                </c:pt>
                <c:pt idx="7">
                  <c:v>0.31520606101969784</c:v>
                </c:pt>
                <c:pt idx="8">
                  <c:v>0.80611001214691658</c:v>
                </c:pt>
                <c:pt idx="9">
                  <c:v>1.3098820943871163</c:v>
                </c:pt>
                <c:pt idx="10">
                  <c:v>1.8219874038788353</c:v>
                </c:pt>
                <c:pt idx="11">
                  <c:v>2.3466299176056702</c:v>
                </c:pt>
                <c:pt idx="12">
                  <c:v>2.8906340068552243</c:v>
                </c:pt>
                <c:pt idx="13">
                  <c:v>3.4595760042846928</c:v>
                </c:pt>
                <c:pt idx="14">
                  <c:v>4.0557935358114259</c:v>
                </c:pt>
                <c:pt idx="15">
                  <c:v>4.6779003285469045</c:v>
                </c:pt>
                <c:pt idx="16">
                  <c:v>5.32143420599244</c:v>
                </c:pt>
                <c:pt idx="17">
                  <c:v>5.9802659817150392</c:v>
                </c:pt>
                <c:pt idx="18">
                  <c:v>6.6483969627217689</c:v>
                </c:pt>
                <c:pt idx="19">
                  <c:v>7.3217727737510252</c:v>
                </c:pt>
                <c:pt idx="20">
                  <c:v>7.9997412136990587</c:v>
                </c:pt>
                <c:pt idx="21">
                  <c:v>8.6857818554001724</c:v>
                </c:pt>
                <c:pt idx="22">
                  <c:v>9.3871350999789289</c:v>
                </c:pt>
                <c:pt idx="23">
                  <c:v>10.112958396992788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0B-4B79-B041-A253B9AC973C}"/>
            </c:ext>
          </c:extLst>
        </c:ser>
        <c:ser>
          <c:idx val="4"/>
          <c:order val="3"/>
          <c:tx>
            <c:v>Интерполяция Ньютоном</c:v>
          </c:tx>
          <c:spPr>
            <a:ln w="28575" cap="rnd">
              <a:solidFill>
                <a:srgbClr val="002060">
                  <a:alpha val="96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Лист1!$B$10:$B$33</c:f>
              <c:numCache>
                <c:formatCode>General</c:formatCode>
                <c:ptCount val="24"/>
                <c:pt idx="0" formatCode="0.00000">
                  <c:v>-0.99999000000000005</c:v>
                </c:pt>
                <c:pt idx="1">
                  <c:v>-0.5</c:v>
                </c:pt>
                <c:pt idx="2">
                  <c:v>-1.00000000000655E-5</c:v>
                </c:pt>
                <c:pt idx="3">
                  <c:v>0.49997999999999998</c:v>
                </c:pt>
                <c:pt idx="4">
                  <c:v>0.99997000000000003</c:v>
                </c:pt>
                <c:pt idx="5">
                  <c:v>1.49996</c:v>
                </c:pt>
                <c:pt idx="6">
                  <c:v>1.9999499999999999</c:v>
                </c:pt>
                <c:pt idx="7">
                  <c:v>2.4999400000000001</c:v>
                </c:pt>
                <c:pt idx="8">
                  <c:v>2.99993</c:v>
                </c:pt>
                <c:pt idx="9">
                  <c:v>3.4999199999999999</c:v>
                </c:pt>
                <c:pt idx="10">
                  <c:v>3.9999099999999999</c:v>
                </c:pt>
                <c:pt idx="11">
                  <c:v>4.4999000000000002</c:v>
                </c:pt>
                <c:pt idx="12">
                  <c:v>4.9998899999999997</c:v>
                </c:pt>
                <c:pt idx="13">
                  <c:v>5.4998800000000001</c:v>
                </c:pt>
                <c:pt idx="14">
                  <c:v>5.9998699999999996</c:v>
                </c:pt>
                <c:pt idx="15">
                  <c:v>6.49986</c:v>
                </c:pt>
                <c:pt idx="16">
                  <c:v>6.9998500000000003</c:v>
                </c:pt>
                <c:pt idx="17">
                  <c:v>7.4998399999999998</c:v>
                </c:pt>
                <c:pt idx="18">
                  <c:v>7.9998300000000002</c:v>
                </c:pt>
                <c:pt idx="19">
                  <c:v>8.4998199999999997</c:v>
                </c:pt>
                <c:pt idx="20">
                  <c:v>8.9998100000000001</c:v>
                </c:pt>
                <c:pt idx="21">
                  <c:v>9.4998000000000005</c:v>
                </c:pt>
                <c:pt idx="22">
                  <c:v>9.9997900000000008</c:v>
                </c:pt>
                <c:pt idx="23">
                  <c:v>10.499779999999999</c:v>
                </c:pt>
              </c:numCache>
            </c:numRef>
          </c:cat>
          <c:val>
            <c:numRef>
              <c:f>Лист1!$AD$30:$AD$53</c:f>
              <c:numCache>
                <c:formatCode>General</c:formatCode>
                <c:ptCount val="24"/>
                <c:pt idx="0">
                  <c:v>4.9999208117648974</c:v>
                </c:pt>
                <c:pt idx="1">
                  <c:v>1.8704872525354106</c:v>
                </c:pt>
                <c:pt idx="2">
                  <c:v>0.18971734798464282</c:v>
                </c:pt>
                <c:pt idx="3">
                  <c:v>-0.54720584400955363</c:v>
                </c:pt>
                <c:pt idx="4">
                  <c:v>-0.69897265733679503</c:v>
                </c:pt>
                <c:pt idx="5">
                  <c:v>-0.51053114574320291</c:v>
                </c:pt>
                <c:pt idx="6">
                  <c:v>-0.14059730430586037</c:v>
                </c:pt>
                <c:pt idx="7">
                  <c:v>0.31533493212041874</c:v>
                </c:pt>
                <c:pt idx="8">
                  <c:v>0.80611002989705149</c:v>
                </c:pt>
                <c:pt idx="9">
                  <c:v>1.3097796534495019</c:v>
                </c:pt>
                <c:pt idx="10">
                  <c:v>1.8218500343819857</c:v>
                </c:pt>
                <c:pt idx="11">
                  <c:v>2.3465340292721821</c:v>
                </c:pt>
                <c:pt idx="12">
                  <c:v>2.8906339825590046</c:v>
                </c:pt>
                <c:pt idx="13">
                  <c:v>3.4596815109365266</c:v>
                </c:pt>
                <c:pt idx="14">
                  <c:v>4.0559603256671473</c:v>
                </c:pt>
                <c:pt idx="15">
                  <c:v>4.6780382092270418</c:v>
                </c:pt>
                <c:pt idx="16">
                  <c:v>5.321434262697025</c:v>
                </c:pt>
                <c:pt idx="17">
                  <c:v>5.9800475403118831</c:v>
                </c:pt>
                <c:pt idx="18">
                  <c:v>6.6479731875812096</c:v>
                </c:pt>
                <c:pt idx="19">
                  <c:v>7.3213321993950045</c:v>
                </c:pt>
                <c:pt idx="20">
                  <c:v>7.9997409145267842</c:v>
                </c:pt>
                <c:pt idx="21">
                  <c:v>8.6870463629475712</c:v>
                </c:pt>
                <c:pt idx="22">
                  <c:v>9.3909535823638972</c:v>
                </c:pt>
                <c:pt idx="23">
                  <c:v>10.121171020392516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0B-4B79-B041-A253B9AC9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691472"/>
        <c:axId val="524737072"/>
      </c:lineChart>
      <c:catAx>
        <c:axId val="55769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4737072"/>
        <c:crosses val="autoZero"/>
        <c:auto val="1"/>
        <c:lblAlgn val="ctr"/>
        <c:lblOffset val="100"/>
        <c:tickLblSkip val="3"/>
        <c:tickMarkSkip val="3"/>
        <c:noMultiLvlLbl val="0"/>
      </c:catAx>
      <c:valAx>
        <c:axId val="52473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769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</xdr:row>
      <xdr:rowOff>123825</xdr:rowOff>
    </xdr:from>
    <xdr:to>
      <xdr:col>6</xdr:col>
      <xdr:colOff>352425</xdr:colOff>
      <xdr:row>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D05530-7DDC-44E2-AABC-1CD5C1064F94}"/>
            </a:ext>
          </a:extLst>
        </xdr:cNvPr>
        <xdr:cNvSpPr txBox="1"/>
      </xdr:nvSpPr>
      <xdr:spPr>
        <a:xfrm>
          <a:off x="3028950" y="609600"/>
          <a:ext cx="27336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Допустим, что имеются</a:t>
          </a:r>
          <a:r>
            <a:rPr lang="ru-RU" sz="1400" baseline="0"/>
            <a:t> следующие данные о функии в точках</a:t>
          </a:r>
          <a:endParaRPr lang="ru-RU" sz="1400"/>
        </a:p>
      </xdr:txBody>
    </xdr:sp>
    <xdr:clientData/>
  </xdr:twoCellAnchor>
  <xdr:twoCellAnchor>
    <xdr:from>
      <xdr:col>3</xdr:col>
      <xdr:colOff>466725</xdr:colOff>
      <xdr:row>18</xdr:row>
      <xdr:rowOff>38099</xdr:rowOff>
    </xdr:from>
    <xdr:to>
      <xdr:col>7</xdr:col>
      <xdr:colOff>0</xdr:colOff>
      <xdr:row>27</xdr:row>
      <xdr:rowOff>100853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602C06C-FF9E-4971-936B-99BF3A3BC4F3}"/>
                </a:ext>
              </a:extLst>
            </xdr:cNvPr>
            <xdr:cNvSpPr txBox="1"/>
          </xdr:nvSpPr>
          <xdr:spPr>
            <a:xfrm>
              <a:off x="3076575" y="3924299"/>
              <a:ext cx="3038475" cy="192965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200"/>
                <a:t>Для</a:t>
              </a:r>
              <a:r>
                <a:rPr lang="ru-RU" sz="1200" baseline="0"/>
                <a:t> кусочно-линейной интерполяции, чтобы найти значение </a:t>
              </a:r>
              <a:r>
                <a:rPr lang="en-US" sz="1200" baseline="0"/>
                <a:t>f(x)</a:t>
              </a:r>
              <a:r>
                <a:rPr lang="ru-RU" sz="1200" baseline="0"/>
                <a:t>, нужно посмотреть, какому промежутку 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en-US" sz="1200" b="0" i="1" baseline="0"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200" b="0" i="1" baseline="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  <m:sub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  <m:r>
                        <a:rPr lang="en-US" sz="1200" b="0" i="1" baseline="0">
                          <a:latin typeface="Cambria Math" panose="02040503050406030204" pitchFamily="18" charset="0"/>
                        </a:rPr>
                        <m:t>;</m:t>
                      </m:r>
                      <m:sSub>
                        <m:sSubPr>
                          <m:ctrlPr>
                            <a:rPr lang="en-US" sz="1200" b="0" i="1" baseline="0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  <m:sub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𝑖</m:t>
                          </m:r>
                          <m:r>
                            <a:rPr lang="en-US" sz="1200" b="0" i="1" baseline="0">
                              <a:latin typeface="Cambria Math" panose="02040503050406030204" pitchFamily="18" charset="0"/>
                            </a:rPr>
                            <m:t>+1</m:t>
                          </m:r>
                        </m:sub>
                      </m:sSub>
                    </m:e>
                  </m:d>
                  <m:r>
                    <a:rPr lang="ru-RU" sz="1200" b="0" i="1" baseline="0">
                      <a:latin typeface="Cambria Math" panose="02040503050406030204" pitchFamily="18" charset="0"/>
                    </a:rPr>
                    <m:t> принадлежит </m:t>
                  </m:r>
                  <m:r>
                    <a:rPr lang="en-US" sz="1200" b="0" i="1" baseline="0">
                      <a:latin typeface="Cambria Math" panose="02040503050406030204" pitchFamily="18" charset="0"/>
                    </a:rPr>
                    <m:t>𝑥</m:t>
                  </m:r>
                  <m:r>
                    <a:rPr lang="en-US" sz="1200" b="0" i="1" baseline="0">
                      <a:latin typeface="Cambria Math" panose="02040503050406030204" pitchFamily="18" charset="0"/>
                    </a:rPr>
                    <m:t>.</m:t>
                  </m:r>
                </m:oMath>
              </a14:m>
              <a:r>
                <a:rPr lang="ru-RU" sz="1200" baseline="0"/>
                <a:t> Тогда:</a:t>
              </a:r>
            </a:p>
            <a:p>
              <a:endParaRPr lang="ru-RU" sz="12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+1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200" b="0" i="1" baseline="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200" b="0" i="1" baseline="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200" b="0" baseline="0"/>
            </a:p>
            <a:p>
              <a:endParaRPr lang="en-US" sz="1200" baseline="0"/>
            </a:p>
            <a:p>
              <a:r>
                <a:rPr lang="ru-RU" sz="1200" baseline="0"/>
                <a:t>Найдём значения для исходных  </a:t>
              </a:r>
              <a14:m>
                <m:oMath xmlns:m="http://schemas.openxmlformats.org/officeDocument/2006/math">
                  <m:r>
                    <a:rPr lang="en-US" sz="1200" b="0" i="1" baseline="0">
                      <a:latin typeface="Cambria Math" panose="02040503050406030204" pitchFamily="18" charset="0"/>
                    </a:rPr>
                    <m:t>𝑥</m:t>
                  </m:r>
                </m:oMath>
              </a14:m>
              <a:endParaRPr lang="en-US" sz="1200" b="0" baseline="0"/>
            </a:p>
            <a:p>
              <a:endParaRPr lang="ru-RU" sz="1200" baseline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602C06C-FF9E-4971-936B-99BF3A3BC4F3}"/>
                </a:ext>
              </a:extLst>
            </xdr:cNvPr>
            <xdr:cNvSpPr txBox="1"/>
          </xdr:nvSpPr>
          <xdr:spPr>
            <a:xfrm>
              <a:off x="3076575" y="3924299"/>
              <a:ext cx="3038475" cy="192965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200"/>
                <a:t>Для</a:t>
              </a:r>
              <a:r>
                <a:rPr lang="ru-RU" sz="1200" baseline="0"/>
                <a:t> кусочно-линейной интерполяции, чтобы найти значение </a:t>
              </a:r>
              <a:r>
                <a:rPr lang="en-US" sz="1200" baseline="0"/>
                <a:t>f(x)</a:t>
              </a:r>
              <a:r>
                <a:rPr lang="ru-RU" sz="1200" baseline="0"/>
                <a:t>, нужно посмотреть, какому промежутку </a:t>
              </a:r>
              <a:r>
                <a:rPr lang="en-US" sz="1200" b="0" i="0" baseline="0">
                  <a:latin typeface="Cambria Math" panose="02040503050406030204" pitchFamily="18" charset="0"/>
                </a:rPr>
                <a:t>[𝑥_𝑖;𝑥_(𝑖+1) ]</a:t>
              </a:r>
              <a:r>
                <a:rPr lang="ru-RU" sz="1200" b="0" i="0" baseline="0">
                  <a:latin typeface="Cambria Math" panose="02040503050406030204" pitchFamily="18" charset="0"/>
                </a:rPr>
                <a:t>  принадлежит 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𝑥.</a:t>
              </a:r>
              <a:r>
                <a:rPr lang="ru-RU" sz="1200" baseline="0"/>
                <a:t> Тогда:</a:t>
              </a:r>
            </a:p>
            <a:p>
              <a:endParaRPr lang="ru-RU" sz="1200" baseline="0"/>
            </a:p>
            <a:p>
              <a:pPr/>
              <a:r>
                <a:rPr lang="en-US" sz="1200" b="0" i="0" baseline="0">
                  <a:latin typeface="Cambria Math" panose="02040503050406030204" pitchFamily="18" charset="0"/>
                </a:rPr>
                <a:t>𝑓(𝑥)=𝑓(𝑥_𝑖 )+((𝑥−𝑥_𝑖 )(𝑓(𝑥_(𝑖+1) )−𝑓(𝑥_𝑖 )))/(𝑥_(𝑖+1)−𝑥_𝑖 )</a:t>
              </a:r>
              <a:endParaRPr lang="en-US" sz="1200" b="0" baseline="0"/>
            </a:p>
            <a:p>
              <a:endParaRPr lang="en-US" sz="1200" baseline="0"/>
            </a:p>
            <a:p>
              <a:r>
                <a:rPr lang="ru-RU" sz="1200" baseline="0"/>
                <a:t>Найдём значения для исходных  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𝑥</a:t>
              </a:r>
              <a:endParaRPr lang="en-US" sz="1200" b="0" baseline="0"/>
            </a:p>
            <a:p>
              <a:endParaRPr lang="ru-RU" sz="1200" baseline="0"/>
            </a:p>
          </xdr:txBody>
        </xdr:sp>
      </mc:Fallback>
    </mc:AlternateContent>
    <xdr:clientData/>
  </xdr:twoCellAnchor>
  <xdr:twoCellAnchor>
    <xdr:from>
      <xdr:col>9</xdr:col>
      <xdr:colOff>571500</xdr:colOff>
      <xdr:row>3</xdr:row>
      <xdr:rowOff>0</xdr:rowOff>
    </xdr:from>
    <xdr:to>
      <xdr:col>17</xdr:col>
      <xdr:colOff>481853</xdr:colOff>
      <xdr:row>9</xdr:row>
      <xdr:rowOff>22412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87613ED-DF55-4AA9-B858-7A0DFD8FE608}"/>
                </a:ext>
              </a:extLst>
            </xdr:cNvPr>
            <xdr:cNvSpPr txBox="1"/>
          </xdr:nvSpPr>
          <xdr:spPr>
            <a:xfrm>
              <a:off x="18268950" y="685800"/>
              <a:ext cx="5768228" cy="125113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nary>
                          <m:naryPr>
                            <m:chr m:val="∏"/>
                            <m:sup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; 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=0,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</m:nary>
                      </m:e>
                    </m:nary>
                  </m:oMath>
                </m:oMathPara>
              </a14:m>
              <a:endParaRPr lang="en-US" sz="14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≈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</m:d>
                  </m:oMath>
                </m:oMathPara>
              </a14:m>
              <a:endParaRPr lang="en-US" sz="1400" b="0">
                <a:ea typeface="Cambria Math" panose="02040503050406030204" pitchFamily="18" charset="0"/>
              </a:endParaRPr>
            </a:p>
            <a:p>
              <a:r>
                <a:rPr lang="ru-RU" sz="1200"/>
                <a:t>Проинтерполируем</a:t>
              </a:r>
              <a:r>
                <a:rPr lang="ru-RU" sz="1200" baseline="0"/>
                <a:t> многочленом Лагранжа </a:t>
              </a:r>
              <a:r>
                <a:rPr lang="en-US" sz="1200" baseline="0"/>
                <a:t>7</a:t>
              </a:r>
              <a:r>
                <a:rPr lang="ru-RU" sz="1200" baseline="0"/>
                <a:t>-ой степени</a:t>
              </a:r>
              <a:endParaRPr lang="ru-RU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87613ED-DF55-4AA9-B858-7A0DFD8FE608}"/>
                </a:ext>
              </a:extLst>
            </xdr:cNvPr>
            <xdr:cNvSpPr txBox="1"/>
          </xdr:nvSpPr>
          <xdr:spPr>
            <a:xfrm>
              <a:off x="18268950" y="685800"/>
              <a:ext cx="5768228" cy="125113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𝐿_𝑛 (𝑥)= ∑_(𝑖=0)^𝑛▒〖𝑓(𝑥_𝑖 ) ∏_(𝑗≠𝑖)▒〖(𝑥−𝑥_𝑗)/(𝑥_𝑖−𝑥_𝑗 );  𝑗=0,𝑛〗〗</a:t>
              </a:r>
              <a:endParaRPr lang="en-US" sz="1400"/>
            </a:p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𝐿_𝑛 (𝑥)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≈𝑓(𝑥)</a:t>
              </a:r>
              <a:endParaRPr lang="en-US" sz="1400" b="0">
                <a:ea typeface="Cambria Math" panose="02040503050406030204" pitchFamily="18" charset="0"/>
              </a:endParaRPr>
            </a:p>
            <a:p>
              <a:r>
                <a:rPr lang="ru-RU" sz="1200"/>
                <a:t>Проинтерполируем</a:t>
              </a:r>
              <a:r>
                <a:rPr lang="ru-RU" sz="1200" baseline="0"/>
                <a:t> многочленом Лагранжа </a:t>
              </a:r>
              <a:r>
                <a:rPr lang="en-US" sz="1200" baseline="0"/>
                <a:t>7</a:t>
              </a:r>
              <a:r>
                <a:rPr lang="ru-RU" sz="1200" baseline="0"/>
                <a:t>-ой степени</a:t>
              </a:r>
              <a:endParaRPr lang="ru-RU" sz="1200"/>
            </a:p>
          </xdr:txBody>
        </xdr:sp>
      </mc:Fallback>
    </mc:AlternateContent>
    <xdr:clientData/>
  </xdr:twoCellAnchor>
  <xdr:twoCellAnchor>
    <xdr:from>
      <xdr:col>7</xdr:col>
      <xdr:colOff>257736</xdr:colOff>
      <xdr:row>2</xdr:row>
      <xdr:rowOff>33617</xdr:rowOff>
    </xdr:from>
    <xdr:to>
      <xdr:col>7</xdr:col>
      <xdr:colOff>257736</xdr:colOff>
      <xdr:row>58</xdr:row>
      <xdr:rowOff>190499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22CEE0A3-A807-459D-BFDD-87804AD9B9A7}"/>
            </a:ext>
          </a:extLst>
        </xdr:cNvPr>
        <xdr:cNvCxnSpPr/>
      </xdr:nvCxnSpPr>
      <xdr:spPr>
        <a:xfrm>
          <a:off x="16735986" y="519392"/>
          <a:ext cx="0" cy="11624982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224118</xdr:colOff>
      <xdr:row>12</xdr:row>
      <xdr:rowOff>44823</xdr:rowOff>
    </xdr:from>
    <xdr:to>
      <xdr:col>13</xdr:col>
      <xdr:colOff>246529</xdr:colOff>
      <xdr:row>14</xdr:row>
      <xdr:rowOff>190500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A16F33BB-2CB0-4E62-8C30-5E7678ABCE92}"/>
            </a:ext>
          </a:extLst>
        </xdr:cNvPr>
        <xdr:cNvSpPr txBox="1"/>
      </xdr:nvSpPr>
      <xdr:spPr>
        <a:xfrm>
          <a:off x="18531168" y="2616573"/>
          <a:ext cx="2832286" cy="5838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Многочлен</a:t>
          </a:r>
          <a:r>
            <a:rPr lang="ru-RU" sz="1100" baseline="0"/>
            <a:t> Лагранжа 7-ой степени</a:t>
          </a:r>
        </a:p>
        <a:p>
          <a:r>
            <a:rPr lang="en-US" sz="1100" baseline="0"/>
            <a:t>ALT+F11</a:t>
          </a:r>
          <a:endParaRPr lang="ru-RU" sz="1100"/>
        </a:p>
      </xdr:txBody>
    </xdr:sp>
    <xdr:clientData/>
  </xdr:twoCellAnchor>
  <xdr:twoCellAnchor>
    <xdr:from>
      <xdr:col>14</xdr:col>
      <xdr:colOff>19050</xdr:colOff>
      <xdr:row>12</xdr:row>
      <xdr:rowOff>114300</xdr:rowOff>
    </xdr:from>
    <xdr:to>
      <xdr:col>19</xdr:col>
      <xdr:colOff>171450</xdr:colOff>
      <xdr:row>14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A80BF18-3DAC-4A4A-A78B-7B78E7426CC6}"/>
            </a:ext>
          </a:extLst>
        </xdr:cNvPr>
        <xdr:cNvSpPr txBox="1"/>
      </xdr:nvSpPr>
      <xdr:spPr>
        <a:xfrm>
          <a:off x="21745575" y="2686050"/>
          <a:ext cx="320040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Многочлен</a:t>
          </a:r>
          <a:r>
            <a:rPr lang="ru-RU" sz="1100" baseline="0"/>
            <a:t> Лагранжа 3-ей степени</a:t>
          </a:r>
          <a:endParaRPr lang="ru-RU" sz="1100"/>
        </a:p>
      </xdr:txBody>
    </xdr:sp>
    <xdr:clientData/>
  </xdr:twoCellAnchor>
  <xdr:twoCellAnchor>
    <xdr:from>
      <xdr:col>23</xdr:col>
      <xdr:colOff>285750</xdr:colOff>
      <xdr:row>2</xdr:row>
      <xdr:rowOff>0</xdr:rowOff>
    </xdr:from>
    <xdr:to>
      <xdr:col>23</xdr:col>
      <xdr:colOff>285750</xdr:colOff>
      <xdr:row>58</xdr:row>
      <xdr:rowOff>156882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F3BF706C-AB42-413B-ADCB-7381F9F731C3}"/>
            </a:ext>
          </a:extLst>
        </xdr:cNvPr>
        <xdr:cNvCxnSpPr/>
      </xdr:nvCxnSpPr>
      <xdr:spPr>
        <a:xfrm>
          <a:off x="27498675" y="485775"/>
          <a:ext cx="0" cy="11624982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152400</xdr:colOff>
      <xdr:row>3</xdr:row>
      <xdr:rowOff>66675</xdr:rowOff>
    </xdr:from>
    <xdr:to>
      <xdr:col>39</xdr:col>
      <xdr:colOff>476250</xdr:colOff>
      <xdr:row>12</xdr:row>
      <xdr:rowOff>200025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7991FD2-F35C-4D46-835C-5A809B58AAC8}"/>
                </a:ext>
              </a:extLst>
            </xdr:cNvPr>
            <xdr:cNvSpPr txBox="1"/>
          </xdr:nvSpPr>
          <xdr:spPr>
            <a:xfrm>
              <a:off x="29194125" y="752475"/>
              <a:ext cx="8248650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Интерполяция многочленом Ньютона</a:t>
              </a:r>
              <a:endParaRPr lang="en-US" sz="1100"/>
            </a:p>
            <a:p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ru-RU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ru-RU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+…+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,…,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…(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  <a:p>
              <a:r>
                <a:rPr lang="ru-RU" sz="1100"/>
                <a:t>где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0 порядка: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1 порядка: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</m:sSub>
                          </m:e>
                        </m:d>
                        <m:r>
                          <a:rPr lang="ru-RU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…</m:t>
                    </m:r>
                  </m:oMath>
                </m:oMathPara>
              </a14:m>
              <a:endParaRPr lang="en-US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Разность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−ого порядка: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;…;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,…,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 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,…, 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  <a:p>
              <a:r>
                <a:rPr lang="ru-RU" sz="1100"/>
                <a:t>Рассчитаем</a:t>
              </a:r>
              <a:r>
                <a:rPr lang="ru-RU" sz="1100" baseline="0"/>
                <a:t> их при помощи таблицы Эйткена ниже:</a:t>
              </a:r>
              <a:endParaRPr lang="ru-RU" sz="1100"/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7991FD2-F35C-4D46-835C-5A809B58AAC8}"/>
                </a:ext>
              </a:extLst>
            </xdr:cNvPr>
            <xdr:cNvSpPr txBox="1"/>
          </xdr:nvSpPr>
          <xdr:spPr>
            <a:xfrm>
              <a:off x="29194125" y="752475"/>
              <a:ext cx="8248650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Интерполяция многочленом Ньютона</a:t>
              </a:r>
              <a:endParaRPr lang="en-US" sz="1100"/>
            </a:p>
            <a:p>
              <a:endParaRPr lang="en-US" sz="110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𝐻_𝑛 (𝑥)=𝑓(𝑥_0 )+𝑓(𝑥_0;𝑥_1 )</a:t>
              </a:r>
              <a:r>
                <a:rPr lang="ru-RU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𝑥−𝑥_0 )+𝑓(𝑥_0,𝑥_1,𝑥_2 )</a:t>
              </a:r>
              <a:r>
                <a:rPr lang="ru-RU" sz="1100" b="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𝑥−𝑥_0 )(𝑥−𝑥_1 )+…+𝑓(𝑥_0,…, 𝑥_𝑛 )(𝑥−𝑥_0 )(𝑥−𝑥_1 )…(𝑥−𝑥_(𝑛−1))</a:t>
              </a:r>
              <a:endParaRPr lang="ru-RU" sz="1100"/>
            </a:p>
            <a:p>
              <a:r>
                <a:rPr lang="ru-RU" sz="1100"/>
                <a:t>где</a:t>
              </a:r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0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𝑓(𝑥_𝑖 )=𝑓(𝑥_𝑖 )</a:t>
              </a:r>
              <a:endParaRPr lang="en-US" sz="1100" b="0"/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1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𝑓(𝑥_𝑖,;𝑥_𝑗 )=  (𝑓(𝑥_𝑗 )</a:t>
              </a:r>
              <a:r>
                <a:rPr lang="ru-RU" sz="1100" b="0" i="0">
                  <a:latin typeface="Cambria Math" panose="02040503050406030204" pitchFamily="18" charset="0"/>
                </a:rPr>
                <a:t>−</a:t>
              </a:r>
              <a:r>
                <a:rPr lang="en-US" sz="1100" b="0" i="0">
                  <a:latin typeface="Cambria Math" panose="02040503050406030204" pitchFamily="18" charset="0"/>
                </a:rPr>
                <a:t>𝑓(𝑥_𝑖))/(𝑥_𝑗−𝑥_𝑖 )</a:t>
              </a:r>
              <a:endParaRPr lang="en-US" sz="1100"/>
            </a:p>
            <a:p>
              <a:r>
                <a:rPr lang="en-US" sz="1100" b="0" i="0">
                  <a:latin typeface="Cambria Math" panose="02040503050406030204" pitchFamily="18" charset="0"/>
                </a:rPr>
                <a:t>…</a:t>
              </a:r>
              <a:endParaRPr lang="en-US" sz="1100"/>
            </a:p>
            <a:p>
              <a:r>
                <a:rPr lang="ru-RU" sz="1100" b="0" i="0">
                  <a:latin typeface="Cambria Math" panose="02040503050406030204" pitchFamily="18" charset="0"/>
                </a:rPr>
                <a:t>Разность </a:t>
              </a:r>
              <a:r>
                <a:rPr lang="en-US" sz="1100" b="0" i="0">
                  <a:latin typeface="Cambria Math" panose="02040503050406030204" pitchFamily="18" charset="0"/>
                </a:rPr>
                <a:t>𝑛−</a:t>
              </a:r>
              <a:r>
                <a:rPr lang="ru-RU" sz="1100" b="0" i="0">
                  <a:latin typeface="Cambria Math" panose="02040503050406030204" pitchFamily="18" charset="0"/>
                </a:rPr>
                <a:t>ого порядка:</a:t>
              </a:r>
              <a:r>
                <a:rPr lang="en-US" sz="1100" b="0" i="0">
                  <a:latin typeface="Cambria Math" panose="02040503050406030204" pitchFamily="18" charset="0"/>
                </a:rPr>
                <a:t>𝑓(𝑥_0;𝑥_1;…;𝑥_𝑛 )=(𝑓(𝑥_1,𝑥_2,…,𝑥_𝑛 )−𝑓(𝑥_0, 𝑥_1,…, 𝑥_(𝑛−1) ))/(𝑥_𝑛−𝑥_0 )</a:t>
              </a:r>
              <a:endParaRPr lang="en-US" sz="1100"/>
            </a:p>
            <a:p>
              <a:r>
                <a:rPr lang="ru-RU" sz="1100"/>
                <a:t>Рассчитаем</a:t>
              </a:r>
              <a:r>
                <a:rPr lang="ru-RU" sz="1100" baseline="0"/>
                <a:t> их при помощи таблицы Эйткена ниже:</a:t>
              </a:r>
              <a:endParaRPr lang="ru-RU" sz="1100"/>
            </a:p>
            <a:p>
              <a:endParaRPr lang="ru-RU" sz="1100"/>
            </a:p>
          </xdr:txBody>
        </xdr:sp>
      </mc:Fallback>
    </mc:AlternateContent>
    <xdr:clientData/>
  </xdr:twoCellAnchor>
  <xdr:oneCellAnchor>
    <xdr:from>
      <xdr:col>29</xdr:col>
      <xdr:colOff>28575</xdr:colOff>
      <xdr:row>14</xdr:row>
      <xdr:rowOff>14287</xdr:rowOff>
    </xdr:from>
    <xdr:ext cx="5619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B4149BBD-CAD0-4B2A-8128-24A245411AC9}"/>
                </a:ext>
              </a:extLst>
            </xdr:cNvPr>
            <xdr:cNvSpPr txBox="1"/>
          </xdr:nvSpPr>
          <xdr:spPr>
            <a:xfrm>
              <a:off x="30899100" y="3081337"/>
              <a:ext cx="5619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B4149BBD-CAD0-4B2A-8128-24A245411AC9}"/>
                </a:ext>
              </a:extLst>
            </xdr:cNvPr>
            <xdr:cNvSpPr txBox="1"/>
          </xdr:nvSpPr>
          <xdr:spPr>
            <a:xfrm>
              <a:off x="30899100" y="3081337"/>
              <a:ext cx="5619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𝑓(𝑥_𝑖;𝑥𝑗)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29</xdr:col>
      <xdr:colOff>571500</xdr:colOff>
      <xdr:row>14</xdr:row>
      <xdr:rowOff>23812</xdr:rowOff>
    </xdr:from>
    <xdr:ext cx="89535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2E4F8031-876C-40E5-AD4B-EE9693E70779}"/>
                </a:ext>
              </a:extLst>
            </xdr:cNvPr>
            <xdr:cNvSpPr txBox="1"/>
          </xdr:nvSpPr>
          <xdr:spPr>
            <a:xfrm>
              <a:off x="31442025" y="3090862"/>
              <a:ext cx="89535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2E4F8031-876C-40E5-AD4B-EE9693E70779}"/>
                </a:ext>
              </a:extLst>
            </xdr:cNvPr>
            <xdr:cNvSpPr txBox="1"/>
          </xdr:nvSpPr>
          <xdr:spPr>
            <a:xfrm>
              <a:off x="31442025" y="3090862"/>
              <a:ext cx="89535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𝑓(𝑥_𝑖;𝑥_𝑗;𝑥_𝑘)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31</xdr:col>
      <xdr:colOff>0</xdr:colOff>
      <xdr:row>14</xdr:row>
      <xdr:rowOff>23812</xdr:rowOff>
    </xdr:from>
    <xdr:ext cx="114300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2E6C7AB-8181-42B8-B79B-CE338DFDCB79}"/>
                </a:ext>
              </a:extLst>
            </xdr:cNvPr>
            <xdr:cNvSpPr txBox="1"/>
          </xdr:nvSpPr>
          <xdr:spPr>
            <a:xfrm>
              <a:off x="32299275" y="3090862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72E6C7AB-8181-42B8-B79B-CE338DFDCB79}"/>
                </a:ext>
              </a:extLst>
            </xdr:cNvPr>
            <xdr:cNvSpPr txBox="1"/>
          </xdr:nvSpPr>
          <xdr:spPr>
            <a:xfrm>
              <a:off x="32299275" y="3090862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32</xdr:col>
      <xdr:colOff>19050</xdr:colOff>
      <xdr:row>14</xdr:row>
      <xdr:rowOff>28575</xdr:rowOff>
    </xdr:from>
    <xdr:ext cx="114300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1F89741-7729-488C-AC8F-F4FCD3895E46}"/>
                </a:ext>
              </a:extLst>
            </xdr:cNvPr>
            <xdr:cNvSpPr txBox="1"/>
          </xdr:nvSpPr>
          <xdr:spPr>
            <a:xfrm>
              <a:off x="33461325" y="3095625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11F89741-7729-488C-AC8F-F4FCD3895E46}"/>
                </a:ext>
              </a:extLst>
            </xdr:cNvPr>
            <xdr:cNvSpPr txBox="1"/>
          </xdr:nvSpPr>
          <xdr:spPr>
            <a:xfrm>
              <a:off x="33461325" y="3095625"/>
              <a:ext cx="114300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33</xdr:col>
      <xdr:colOff>28574</xdr:colOff>
      <xdr:row>14</xdr:row>
      <xdr:rowOff>0</xdr:rowOff>
    </xdr:from>
    <xdr:ext cx="136207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B1FFD46-DA36-41C6-85AD-B2F900B6D751}"/>
                </a:ext>
              </a:extLst>
            </xdr:cNvPr>
            <xdr:cNvSpPr txBox="1"/>
          </xdr:nvSpPr>
          <xdr:spPr>
            <a:xfrm>
              <a:off x="34670999" y="3067050"/>
              <a:ext cx="136207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B1FFD46-DA36-41C6-85AD-B2F900B6D751}"/>
                </a:ext>
              </a:extLst>
            </xdr:cNvPr>
            <xdr:cNvSpPr txBox="1"/>
          </xdr:nvSpPr>
          <xdr:spPr>
            <a:xfrm>
              <a:off x="34670999" y="3067050"/>
              <a:ext cx="136207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𝑘;𝑥_𝑙;𝑥_𝑚;𝑥_ℎ)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34</xdr:col>
      <xdr:colOff>38098</xdr:colOff>
      <xdr:row>14</xdr:row>
      <xdr:rowOff>19049</xdr:rowOff>
    </xdr:from>
    <xdr:ext cx="1524002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7D28E79-ACA7-4127-BEEF-DA571F51F555}"/>
                </a:ext>
              </a:extLst>
            </xdr:cNvPr>
            <xdr:cNvSpPr txBox="1"/>
          </xdr:nvSpPr>
          <xdr:spPr>
            <a:xfrm>
              <a:off x="36109273" y="3086099"/>
              <a:ext cx="1524002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7D28E79-ACA7-4127-BEEF-DA571F51F555}"/>
                </a:ext>
              </a:extLst>
            </xdr:cNvPr>
            <xdr:cNvSpPr txBox="1"/>
          </xdr:nvSpPr>
          <xdr:spPr>
            <a:xfrm>
              <a:off x="36109273" y="3086099"/>
              <a:ext cx="1524002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𝑓(𝑥_𝑖;𝑥_𝑗;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𝑘;𝑥_𝑙;𝑥_𝑚;𝑥_ℎ;𝑥_𝑟)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35</xdr:col>
      <xdr:colOff>28574</xdr:colOff>
      <xdr:row>14</xdr:row>
      <xdr:rowOff>23812</xdr:rowOff>
    </xdr:from>
    <xdr:ext cx="20478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1EBE08-8E74-4094-B5BB-8F69ECBA2411}"/>
                </a:ext>
              </a:extLst>
            </xdr:cNvPr>
            <xdr:cNvSpPr txBox="1"/>
          </xdr:nvSpPr>
          <xdr:spPr>
            <a:xfrm>
              <a:off x="37690424" y="3090862"/>
              <a:ext cx="20478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6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;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7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1EBE08-8E74-4094-B5BB-8F69ECBA2411}"/>
                </a:ext>
              </a:extLst>
            </xdr:cNvPr>
            <xdr:cNvSpPr txBox="1"/>
          </xdr:nvSpPr>
          <xdr:spPr>
            <a:xfrm>
              <a:off x="37690424" y="3090862"/>
              <a:ext cx="20478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𝑓(𝑥_0;𝑥_1;𝑥_2;𝑥_3;𝑥_4;𝑥_5;𝑥_6;𝑥_7)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26</xdr:col>
      <xdr:colOff>361950</xdr:colOff>
      <xdr:row>23</xdr:row>
      <xdr:rowOff>152400</xdr:rowOff>
    </xdr:from>
    <xdr:to>
      <xdr:col>36</xdr:col>
      <xdr:colOff>457200</xdr:colOff>
      <xdr:row>26</xdr:row>
      <xdr:rowOff>76200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C67A5E2-8DAC-48BF-ABC7-8BCF7CEE2DE6}"/>
                </a:ext>
              </a:extLst>
            </xdr:cNvPr>
            <xdr:cNvSpPr txBox="1"/>
          </xdr:nvSpPr>
          <xdr:spPr>
            <a:xfrm>
              <a:off x="29403675" y="5162550"/>
              <a:ext cx="10963275" cy="5238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Интерполяционный многочлен примет следующий вид: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ru-RU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4.999994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−6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+1) +2.159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+1)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x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−0.41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+0.057</m:t>
                    </m:r>
                    <m:r>
                      <m:rPr>
                        <m:nor/>
                      </m:rPr>
                      <a:rPr lang="en-US" sz="1100" b="0" i="0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+1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−2</m:t>
                        </m:r>
                      </m:e>
                    </m:d>
                    <m:r>
                      <a:rPr lang="en-US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d>
                      <m:dPr>
                        <m:ctrlP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100" b="0" i="1" u="none" strike="noStrike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−4</m:t>
                        </m:r>
                      </m:e>
                    </m:d>
                    <m:r>
                      <m:rPr>
                        <m:nor/>
                      </m:rPr>
                      <a:rPr lang="ru-RU"/>
                      <m:t> </m:t>
                    </m:r>
                    <m:r>
                      <m:rPr>
                        <m:nor/>
                      </m:rPr>
                      <a:rPr lang="en-US" b="0" i="0"/>
                      <m:t>+</m:t>
                    </m:r>
                    <m:r>
                      <a:rPr lang="en-US" b="0" i="1">
                        <a:latin typeface="Cambria Math" panose="02040503050406030204" pitchFamily="18" charset="0"/>
                      </a:rPr>
                      <m:t>…</m:t>
                    </m:r>
                    <m:r>
                      <m:rPr>
                        <m:nor/>
                      </m:rPr>
                      <a:rPr lang="ru-RU" sz="1100" i="1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C67A5E2-8DAC-48BF-ABC7-8BCF7CEE2DE6}"/>
                </a:ext>
              </a:extLst>
            </xdr:cNvPr>
            <xdr:cNvSpPr txBox="1"/>
          </xdr:nvSpPr>
          <xdr:spPr>
            <a:xfrm>
              <a:off x="29403675" y="5162550"/>
              <a:ext cx="10963275" cy="5238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ru-RU" sz="1100"/>
                <a:t>Интерполяционный многочлен примет следующий вид:</a:t>
              </a:r>
            </a:p>
            <a:p>
              <a:r>
                <a:rPr lang="en-US" sz="1100" b="0" i="0">
                  <a:latin typeface="Cambria Math" panose="02040503050406030204" pitchFamily="18" charset="0"/>
                </a:rPr>
                <a:t>𝐻_𝑛 (𝑥)=</a:t>
              </a:r>
              <a:r>
                <a:rPr lang="ru-RU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"4.999994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-6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"(x+1) +2.159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"(x+1)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"x-0.41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"⋅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(𝑥+1)⋅𝑥⋅(𝑥−2)+0.057"2"⋅(𝑥+1)⋅𝑥⋅(𝑥−2)⋅(𝑥−4)</a:t>
              </a:r>
              <a:r>
                <a:rPr lang="ru-RU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ru-RU" i="0">
                  <a:latin typeface="Cambria Math" panose="02040503050406030204" pitchFamily="18" charset="0"/>
                </a:rPr>
                <a:t> </a:t>
              </a:r>
              <a:r>
                <a:rPr lang="en-US" b="0" i="0">
                  <a:latin typeface="Cambria Math" panose="02040503050406030204" pitchFamily="18" charset="0"/>
                </a:rPr>
                <a:t>+</a:t>
              </a:r>
              <a:r>
                <a:rPr lang="en-US" b="0" i="0"/>
                <a:t>"…</a:t>
              </a:r>
              <a:r>
                <a:rPr lang="ru-RU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ru-RU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ru-RU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ru-RU" sz="1100"/>
            </a:p>
          </xdr:txBody>
        </xdr:sp>
      </mc:Fallback>
    </mc:AlternateContent>
    <xdr:clientData/>
  </xdr:twoCellAnchor>
  <xdr:twoCellAnchor>
    <xdr:from>
      <xdr:col>3</xdr:col>
      <xdr:colOff>190500</xdr:colOff>
      <xdr:row>2</xdr:row>
      <xdr:rowOff>11206</xdr:rowOff>
    </xdr:from>
    <xdr:to>
      <xdr:col>3</xdr:col>
      <xdr:colOff>190500</xdr:colOff>
      <xdr:row>58</xdr:row>
      <xdr:rowOff>168088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D59C4565-FDB3-4C19-BF6F-B835933E41A4}"/>
            </a:ext>
          </a:extLst>
        </xdr:cNvPr>
        <xdr:cNvCxnSpPr/>
      </xdr:nvCxnSpPr>
      <xdr:spPr>
        <a:xfrm>
          <a:off x="2801471" y="493059"/>
          <a:ext cx="0" cy="11822205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259414</xdr:colOff>
      <xdr:row>61</xdr:row>
      <xdr:rowOff>141752</xdr:rowOff>
    </xdr:from>
    <xdr:to>
      <xdr:col>7</xdr:col>
      <xdr:colOff>0</xdr:colOff>
      <xdr:row>91</xdr:row>
      <xdr:rowOff>150159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AF322978-E662-4594-B570-02FC65EAB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0</xdr:colOff>
      <xdr:row>71</xdr:row>
      <xdr:rowOff>134471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6531791-DB74-463F-9FCD-A9353D526841}"/>
            </a:ext>
          </a:extLst>
        </xdr:cNvPr>
        <xdr:cNvSpPr txBox="1"/>
      </xdr:nvSpPr>
      <xdr:spPr>
        <a:xfrm>
          <a:off x="14153029" y="147917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23B0-90F2-493E-9BF2-455ECBCCF58A}">
  <sheetPr codeName="Лист1"/>
  <dimension ref="B2:AJ53"/>
  <sheetViews>
    <sheetView tabSelected="1" topLeftCell="A4" zoomScaleNormal="100" workbookViewId="0">
      <selection activeCell="Y5" sqref="Y5:Z5"/>
    </sheetView>
  </sheetViews>
  <sheetFormatPr defaultRowHeight="15" x14ac:dyDescent="0.25"/>
  <cols>
    <col min="2" max="2" width="15.5703125" customWidth="1"/>
    <col min="3" max="3" width="14.42578125" customWidth="1"/>
    <col min="5" max="5" width="18.7109375" customWidth="1"/>
    <col min="6" max="6" width="14.140625" customWidth="1"/>
    <col min="12" max="12" width="15.28515625" customWidth="1"/>
    <col min="13" max="13" width="17.7109375" customWidth="1"/>
    <col min="15" max="15" width="11.7109375" customWidth="1"/>
    <col min="29" max="29" width="13.42578125" customWidth="1"/>
    <col min="30" max="30" width="10.7109375" customWidth="1"/>
    <col min="31" max="31" width="12.28515625" customWidth="1"/>
    <col min="32" max="32" width="17.140625" customWidth="1"/>
    <col min="33" max="33" width="18" customWidth="1"/>
    <col min="34" max="34" width="21.42578125" customWidth="1"/>
    <col min="35" max="35" width="23.85546875" customWidth="1"/>
    <col min="36" max="36" width="33.7109375" customWidth="1"/>
  </cols>
  <sheetData>
    <row r="2" spans="2:33" ht="23.25" x14ac:dyDescent="0.35">
      <c r="D2" s="14" t="s">
        <v>0</v>
      </c>
      <c r="E2" s="14"/>
      <c r="F2" s="14"/>
      <c r="G2" s="14"/>
      <c r="L2" s="16" t="s">
        <v>1</v>
      </c>
      <c r="M2" s="16"/>
      <c r="N2" s="16"/>
      <c r="O2" s="16"/>
      <c r="P2" s="16"/>
      <c r="Q2" s="16"/>
      <c r="R2" s="16"/>
      <c r="Z2" s="15" t="s">
        <v>22</v>
      </c>
      <c r="AA2" s="15"/>
      <c r="AB2" s="15"/>
      <c r="AC2" s="15"/>
      <c r="AD2" s="15"/>
      <c r="AE2" s="15"/>
      <c r="AF2" s="15"/>
      <c r="AG2" s="15"/>
    </row>
    <row r="3" spans="2:33" ht="15.75" x14ac:dyDescent="0.25">
      <c r="B3" s="13" t="s">
        <v>2</v>
      </c>
      <c r="C3" s="13"/>
    </row>
    <row r="4" spans="2:33" ht="15.75" x14ac:dyDescent="0.25">
      <c r="B4" s="1" t="s">
        <v>3</v>
      </c>
      <c r="C4" s="1" t="s">
        <v>4</v>
      </c>
    </row>
    <row r="5" spans="2:33" ht="16.5" thickBot="1" x14ac:dyDescent="0.3">
      <c r="B5" s="1" t="s">
        <v>5</v>
      </c>
      <c r="C5" s="1" t="s">
        <v>6</v>
      </c>
      <c r="Y5" s="17" t="s">
        <v>26</v>
      </c>
      <c r="Z5" s="17">
        <v>2</v>
      </c>
    </row>
    <row r="6" spans="2:33" ht="17.25" thickTop="1" thickBot="1" x14ac:dyDescent="0.3">
      <c r="B6" s="2"/>
      <c r="C6" s="2"/>
      <c r="Y6" s="3" t="s">
        <v>8</v>
      </c>
      <c r="Z6" s="3" t="s">
        <v>10</v>
      </c>
    </row>
    <row r="7" spans="2:33" ht="17.25" thickTop="1" thickBot="1" x14ac:dyDescent="0.3">
      <c r="B7" s="13" t="s">
        <v>7</v>
      </c>
      <c r="C7" s="13"/>
      <c r="Y7" s="3">
        <v>-0.99999899999999997</v>
      </c>
      <c r="Z7" s="3">
        <f>Y7*LOG10(Y7+1)-1</f>
        <v>4.9999939999875114</v>
      </c>
    </row>
    <row r="8" spans="2:33" ht="17.25" thickTop="1" thickBot="1" x14ac:dyDescent="0.3">
      <c r="B8" s="2"/>
      <c r="C8" s="2"/>
      <c r="E8" s="17" t="s">
        <v>26</v>
      </c>
      <c r="F8" s="18">
        <v>2</v>
      </c>
      <c r="V8" s="11" t="s">
        <v>8</v>
      </c>
      <c r="W8" s="11" t="s">
        <v>10</v>
      </c>
      <c r="Y8" s="3">
        <f>Y7+$Z$5</f>
        <v>1.0000010000000001</v>
      </c>
      <c r="Z8" s="3">
        <f t="shared" ref="Z8:Z14" si="0">Y8*LOG10(Y8+1)-1</f>
        <v>-0.69896948615861931</v>
      </c>
    </row>
    <row r="9" spans="2:33" ht="17.25" thickTop="1" thickBot="1" x14ac:dyDescent="0.3">
      <c r="B9" s="1" t="s">
        <v>8</v>
      </c>
      <c r="C9" s="1" t="s">
        <v>9</v>
      </c>
      <c r="E9" s="3" t="s">
        <v>8</v>
      </c>
      <c r="F9" s="3" t="s">
        <v>10</v>
      </c>
      <c r="V9" s="11">
        <v>0</v>
      </c>
      <c r="W9" s="11">
        <v>-1</v>
      </c>
      <c r="Y9" s="3">
        <f t="shared" ref="Y9:Y14" si="1">Y8+$Z$5</f>
        <v>3.0000010000000001</v>
      </c>
      <c r="Z9" s="3">
        <f t="shared" si="0"/>
        <v>0.80618090176480783</v>
      </c>
    </row>
    <row r="10" spans="2:33" ht="17.25" thickTop="1" thickBot="1" x14ac:dyDescent="0.3">
      <c r="B10" s="4">
        <v>-0.99999000000000005</v>
      </c>
      <c r="C10" s="1">
        <f>B10*LOG10(B10+1)-1</f>
        <v>3.9999500000019763</v>
      </c>
      <c r="E10" s="3">
        <v>-0.99999899999999997</v>
      </c>
      <c r="F10" s="3">
        <f>E10*LOG10(E10+1)-1</f>
        <v>4.9999939999875114</v>
      </c>
      <c r="I10" s="17" t="s">
        <v>26</v>
      </c>
      <c r="J10" s="18">
        <v>2</v>
      </c>
      <c r="V10" s="11">
        <v>4</v>
      </c>
      <c r="W10" s="11">
        <v>1.7958800173440754</v>
      </c>
      <c r="Y10" s="3">
        <f t="shared" si="1"/>
        <v>5.0000010000000001</v>
      </c>
      <c r="Z10" s="3">
        <f t="shared" si="0"/>
        <v>2.890757391981579</v>
      </c>
    </row>
    <row r="11" spans="2:33" ht="17.25" thickTop="1" thickBot="1" x14ac:dyDescent="0.3">
      <c r="B11" s="1">
        <v>-0.5</v>
      </c>
      <c r="C11" s="1">
        <f t="shared" ref="C11:C33" si="2">B11*LOG10(B11+1)-1</f>
        <v>-0.84948500216800937</v>
      </c>
      <c r="E11" s="3">
        <f>E10+$F$8</f>
        <v>1.0000010000000001</v>
      </c>
      <c r="F11" s="3">
        <f t="shared" ref="F11:F17" si="3">E11*LOG10(E11+1)-1</f>
        <v>-0.69896948615861931</v>
      </c>
      <c r="I11" s="3" t="s">
        <v>8</v>
      </c>
      <c r="J11" s="3" t="s">
        <v>10</v>
      </c>
      <c r="L11" s="2" t="s">
        <v>8</v>
      </c>
      <c r="M11" s="2" cm="1">
        <f t="array" ref="M11:T12">TRANSPOSE(I12:J19)</f>
        <v>-0.99999899999999997</v>
      </c>
      <c r="N11" s="2">
        <v>1.0000010000000001</v>
      </c>
      <c r="O11" s="2">
        <v>3.0000010000000001</v>
      </c>
      <c r="P11" s="2">
        <v>5.0000010000000001</v>
      </c>
      <c r="Q11" s="2">
        <v>7.0000010000000001</v>
      </c>
      <c r="R11" s="2">
        <v>9.000001000000001</v>
      </c>
      <c r="S11" s="2">
        <v>11.000001000000001</v>
      </c>
      <c r="T11" s="2">
        <v>13.000001000000001</v>
      </c>
      <c r="V11" s="11">
        <v>8</v>
      </c>
      <c r="W11" s="11">
        <v>6.633940075514599</v>
      </c>
      <c r="Y11" s="3">
        <f t="shared" si="1"/>
        <v>7.0000010000000001</v>
      </c>
      <c r="Z11" s="3">
        <f t="shared" si="0"/>
        <v>5.3216311920412949</v>
      </c>
    </row>
    <row r="12" spans="2:33" ht="17.25" thickTop="1" thickBot="1" x14ac:dyDescent="0.3">
      <c r="B12" s="1">
        <v>-1.00000000000655E-5</v>
      </c>
      <c r="C12" s="1">
        <f t="shared" si="2"/>
        <v>-0.9999999999565703</v>
      </c>
      <c r="E12" s="3">
        <f t="shared" ref="E12:E17" si="4">E11+$F$8</f>
        <v>3.0000010000000001</v>
      </c>
      <c r="F12" s="3">
        <f t="shared" si="3"/>
        <v>0.80618090176480783</v>
      </c>
      <c r="I12" s="3">
        <v>-0.99999899999999997</v>
      </c>
      <c r="J12" s="3">
        <f>I12*LOG10(I12+1)-1</f>
        <v>4.9999939999875114</v>
      </c>
      <c r="L12" s="2" t="s">
        <v>10</v>
      </c>
      <c r="M12" s="2">
        <v>4.9999939999875114</v>
      </c>
      <c r="N12" s="2">
        <v>-0.69896948615861931</v>
      </c>
      <c r="O12" s="2">
        <v>0.80618090176480783</v>
      </c>
      <c r="P12" s="2">
        <v>2.890757391981579</v>
      </c>
      <c r="Q12" s="2">
        <v>5.3216311920412949</v>
      </c>
      <c r="R12" s="2">
        <v>8.0000013908650587</v>
      </c>
      <c r="S12" s="2">
        <v>10.870995183808416</v>
      </c>
      <c r="T12" s="2">
        <v>13.899666013218598</v>
      </c>
      <c r="V12" s="11">
        <v>12</v>
      </c>
      <c r="W12" s="11">
        <v>12.36732022768204</v>
      </c>
      <c r="Y12" s="3">
        <f t="shared" si="1"/>
        <v>9.000001000000001</v>
      </c>
      <c r="Z12" s="3">
        <f t="shared" si="0"/>
        <v>8.0000013908650587</v>
      </c>
    </row>
    <row r="13" spans="2:33" ht="17.25" thickTop="1" thickBot="1" x14ac:dyDescent="0.3">
      <c r="B13" s="1">
        <v>0.49997999999999998</v>
      </c>
      <c r="C13" s="1">
        <f t="shared" si="2"/>
        <v>-0.91196078749737608</v>
      </c>
      <c r="E13" s="3">
        <f t="shared" si="4"/>
        <v>5.0000010000000001</v>
      </c>
      <c r="F13" s="3">
        <f t="shared" si="3"/>
        <v>2.890757391981579</v>
      </c>
      <c r="I13" s="3">
        <f>I12+$J$10</f>
        <v>1.0000010000000001</v>
      </c>
      <c r="J13" s="3">
        <f t="shared" ref="J13:J19" si="5">I13*LOG10(I13+1)-1</f>
        <v>-0.69896948615861931</v>
      </c>
      <c r="Y13" s="3">
        <f t="shared" si="1"/>
        <v>11.000001000000001</v>
      </c>
      <c r="Z13" s="3">
        <f t="shared" si="0"/>
        <v>10.870995183808416</v>
      </c>
    </row>
    <row r="14" spans="2:33" ht="17.25" thickTop="1" thickBot="1" x14ac:dyDescent="0.3">
      <c r="B14" s="1">
        <v>0.99997000000000003</v>
      </c>
      <c r="C14" s="1">
        <f t="shared" si="2"/>
        <v>-0.6989855495065419</v>
      </c>
      <c r="E14" s="3">
        <f t="shared" si="4"/>
        <v>7.0000010000000001</v>
      </c>
      <c r="F14" s="3">
        <f t="shared" si="3"/>
        <v>5.3216311920412949</v>
      </c>
      <c r="I14" s="3">
        <f t="shared" ref="I14:I19" si="6">I13+$J$10</f>
        <v>3.0000010000000001</v>
      </c>
      <c r="J14" s="3">
        <f t="shared" si="5"/>
        <v>0.80618090176480783</v>
      </c>
      <c r="Y14" s="3">
        <f t="shared" si="1"/>
        <v>13.000001000000001</v>
      </c>
      <c r="Z14" s="3">
        <f t="shared" si="0"/>
        <v>13.899666013218598</v>
      </c>
    </row>
    <row r="15" spans="2:33" ht="17.25" thickTop="1" thickBot="1" x14ac:dyDescent="0.3">
      <c r="B15" s="1">
        <v>1.49996</v>
      </c>
      <c r="C15" s="1">
        <f t="shared" si="2"/>
        <v>-0.40311632746529102</v>
      </c>
      <c r="E15" s="3">
        <f t="shared" si="4"/>
        <v>9.000001000000001</v>
      </c>
      <c r="F15" s="3">
        <f t="shared" si="3"/>
        <v>8.0000013908650587</v>
      </c>
      <c r="I15" s="3">
        <f t="shared" si="6"/>
        <v>5.0000010000000001</v>
      </c>
      <c r="J15" s="3">
        <f t="shared" si="5"/>
        <v>2.890757391981579</v>
      </c>
      <c r="AA15" t="s">
        <v>24</v>
      </c>
      <c r="AB15" s="10" t="s">
        <v>23</v>
      </c>
      <c r="AC15" s="10" t="s">
        <v>11</v>
      </c>
    </row>
    <row r="16" spans="2:33" ht="17.25" thickTop="1" thickBot="1" x14ac:dyDescent="0.3">
      <c r="B16" s="1">
        <v>1.9999499999999999</v>
      </c>
      <c r="C16" s="1">
        <f t="shared" si="2"/>
        <v>-4.5795822864864832E-2</v>
      </c>
      <c r="E16" s="3">
        <f t="shared" si="4"/>
        <v>11.000001000000001</v>
      </c>
      <c r="F16" s="3">
        <f t="shared" si="3"/>
        <v>10.870995183808416</v>
      </c>
      <c r="I16" s="3">
        <f t="shared" si="6"/>
        <v>7.0000010000000001</v>
      </c>
      <c r="J16" s="3">
        <f t="shared" si="5"/>
        <v>5.3216311920412949</v>
      </c>
      <c r="L16" s="5" t="s">
        <v>8</v>
      </c>
      <c r="M16" s="6" t="s">
        <v>12</v>
      </c>
      <c r="O16" s="5" t="s">
        <v>8</v>
      </c>
      <c r="P16" s="6" t="s">
        <v>12</v>
      </c>
      <c r="R16" t="s">
        <v>8</v>
      </c>
      <c r="S16">
        <v>0</v>
      </c>
      <c r="T16">
        <v>4</v>
      </c>
      <c r="U16">
        <v>8</v>
      </c>
      <c r="V16" s="12">
        <v>12</v>
      </c>
      <c r="AA16">
        <v>0</v>
      </c>
      <c r="AB16" s="10">
        <f>Y7</f>
        <v>-0.99999899999999997</v>
      </c>
      <c r="AC16" s="10">
        <f>Z7</f>
        <v>4.9999939999875114</v>
      </c>
    </row>
    <row r="17" spans="2:36" ht="17.25" thickTop="1" thickBot="1" x14ac:dyDescent="0.3">
      <c r="B17" s="1">
        <v>2.4999400000000001</v>
      </c>
      <c r="C17" s="1">
        <f t="shared" si="2"/>
        <v>0.36011885445954328</v>
      </c>
      <c r="E17" s="3">
        <f t="shared" si="4"/>
        <v>13.000001000000001</v>
      </c>
      <c r="F17" s="3">
        <f t="shared" si="3"/>
        <v>13.899666013218598</v>
      </c>
      <c r="I17" s="3">
        <f t="shared" si="6"/>
        <v>9.000001000000001</v>
      </c>
      <c r="J17" s="3">
        <f t="shared" si="5"/>
        <v>8.0000013908650587</v>
      </c>
      <c r="L17" s="7">
        <v>-0.99999000000000005</v>
      </c>
      <c r="M17" s="6" cm="1">
        <f t="array" ref="M17">Lagrange_unified($M$11:$T$11,$M$12:$T$12,L17)</f>
        <v>4.9999208398643189</v>
      </c>
      <c r="O17" s="7">
        <v>-0.99999000000000005</v>
      </c>
      <c r="P17" s="6" cm="1">
        <f t="array" ref="P17">Lagrange_unified($S$16:$V$16,$S$17:$V$17,O17)</f>
        <v>-1.2454803244169943</v>
      </c>
      <c r="R17" t="s">
        <v>10</v>
      </c>
      <c r="S17">
        <v>-1</v>
      </c>
      <c r="T17" s="11">
        <v>1.7958800173440754</v>
      </c>
      <c r="U17" s="11">
        <v>6.633940075514599</v>
      </c>
      <c r="V17" s="11">
        <v>12.36732022768204</v>
      </c>
      <c r="AA17">
        <v>1</v>
      </c>
      <c r="AB17" s="10">
        <f>Y8</f>
        <v>1.0000010000000001</v>
      </c>
      <c r="AC17" s="10">
        <f>Z8</f>
        <v>-0.69896948615861931</v>
      </c>
      <c r="AD17">
        <f>(AC17-AC16)/(AB17-AB16)</f>
        <v>-2.8494817430730652</v>
      </c>
    </row>
    <row r="18" spans="2:36" ht="17.25" thickTop="1" thickBot="1" x14ac:dyDescent="0.3">
      <c r="B18" s="1">
        <v>2.99993</v>
      </c>
      <c r="C18" s="1">
        <f t="shared" si="2"/>
        <v>0.80611502965670345</v>
      </c>
      <c r="I18" s="3">
        <f t="shared" si="6"/>
        <v>11.000001000000001</v>
      </c>
      <c r="J18" s="3">
        <f t="shared" si="5"/>
        <v>10.870995183808416</v>
      </c>
      <c r="L18" s="5">
        <v>-0.5</v>
      </c>
      <c r="M18" s="6" cm="1">
        <f t="array" ref="M18">Lagrange_unified($M$11:$T$11,$M$12:$T$12,L18)</f>
        <v>1.8713027999964924</v>
      </c>
      <c r="O18" s="5">
        <v>-0.5</v>
      </c>
      <c r="P18" s="6" cm="1">
        <f t="array" ref="P18">Lagrange_unified($S$16:$V$16,$S$17:$V$17,O18)</f>
        <v>-1.1487752167892884</v>
      </c>
      <c r="AA18">
        <v>2</v>
      </c>
      <c r="AB18" s="10">
        <f>Y9</f>
        <v>3.0000010000000001</v>
      </c>
      <c r="AC18" s="10">
        <f>Z9</f>
        <v>0.80618090176480783</v>
      </c>
      <c r="AD18">
        <f t="shared" ref="AD18:AD22" si="7">(AC18-AC17)/(AB18-AB17)</f>
        <v>0.75257519396171357</v>
      </c>
      <c r="AE18">
        <f>(AD18-AD17)/(AB18-AB16)</f>
        <v>0.9005142342586947</v>
      </c>
    </row>
    <row r="19" spans="2:36" ht="17.25" thickTop="1" thickBot="1" x14ac:dyDescent="0.3">
      <c r="B19" s="1">
        <v>3.4999199999999999</v>
      </c>
      <c r="C19" s="1">
        <f t="shared" si="2"/>
        <v>1.286164518822301</v>
      </c>
      <c r="I19" s="3">
        <f t="shared" si="6"/>
        <v>13.000001000000001</v>
      </c>
      <c r="J19" s="3">
        <f t="shared" si="5"/>
        <v>13.899666013218598</v>
      </c>
      <c r="L19" s="5">
        <v>-1.00000000000655E-5</v>
      </c>
      <c r="M19" s="6" cm="1">
        <f t="array" ref="M19">Lagrange_unified($M$11:$T$11,$M$12:$T$12,L19)</f>
        <v>0.19044742588159855</v>
      </c>
      <c r="O19" s="5">
        <v>-1.00000000000655E-5</v>
      </c>
      <c r="P19" s="6" cm="1">
        <f t="array" ref="P19">Lagrange_unified($S$16:$V$16,$S$17:$V$17,O19)</f>
        <v>-1.000003481248404</v>
      </c>
      <c r="AA19">
        <v>3</v>
      </c>
      <c r="AB19" s="10">
        <f>Y10</f>
        <v>5.0000010000000001</v>
      </c>
      <c r="AC19" s="10">
        <f>Z10</f>
        <v>2.890757391981579</v>
      </c>
      <c r="AD19">
        <f t="shared" si="7"/>
        <v>1.0422882451083857</v>
      </c>
      <c r="AE19">
        <f t="shared" ref="AE19:AE22" si="8">(AD19-AD18)/(AB19-AB17)</f>
        <v>7.242826278666803E-2</v>
      </c>
      <c r="AF19">
        <f>(AE19-AE18)/(AB19-AB16)</f>
        <v>-0.1380143285786711</v>
      </c>
    </row>
    <row r="20" spans="2:36" ht="16.5" thickTop="1" x14ac:dyDescent="0.25">
      <c r="B20" s="1">
        <v>3.9999099999999999</v>
      </c>
      <c r="C20" s="1">
        <f t="shared" si="2"/>
        <v>1.7957858412631249</v>
      </c>
      <c r="L20" s="5">
        <v>0.49997999999999998</v>
      </c>
      <c r="M20" s="6" cm="1">
        <f t="array" ref="M20">Lagrange_unified($M$11:$T$11,$M$12:$T$12,L20)</f>
        <v>-0.54685512250346624</v>
      </c>
      <c r="O20" s="5">
        <v>0.49997999999999998</v>
      </c>
      <c r="P20" s="6" cm="1">
        <f t="array" ref="P20">Lagrange_unified($S$16:$V$16,$S$17:$V$17,O20)</f>
        <v>-0.80140494423303132</v>
      </c>
      <c r="AA20">
        <v>4</v>
      </c>
      <c r="AB20" s="10">
        <f>Y11</f>
        <v>7.0000010000000001</v>
      </c>
      <c r="AC20" s="10">
        <f>Z11</f>
        <v>5.3216311920412949</v>
      </c>
      <c r="AD20">
        <f t="shared" si="7"/>
        <v>1.2154369000298579</v>
      </c>
      <c r="AE20">
        <f t="shared" si="8"/>
        <v>4.3287163730368061E-2</v>
      </c>
      <c r="AF20">
        <f t="shared" ref="AF20:AF23" si="9">(AE20-AE19)/(AB20-AB17)</f>
        <v>-4.8568498427166611E-3</v>
      </c>
      <c r="AG20">
        <f>(AF20-AF19)/(AB20-AB16)</f>
        <v>1.6644684841994304E-2</v>
      </c>
    </row>
    <row r="21" spans="2:36" ht="15.75" x14ac:dyDescent="0.25">
      <c r="B21" s="1">
        <v>4.4999000000000002</v>
      </c>
      <c r="C21" s="1">
        <f t="shared" si="2"/>
        <v>2.3315225337368655</v>
      </c>
      <c r="L21" s="5">
        <v>0.99997000000000003</v>
      </c>
      <c r="M21" s="6" cm="1">
        <f t="array" ref="M21">Lagrange_unified($M$11:$T$11,$M$12:$T$12,L21)</f>
        <v>-0.69897263990774494</v>
      </c>
      <c r="O21" s="5">
        <v>0.99997000000000003</v>
      </c>
      <c r="P21" s="6" cm="1">
        <f t="array" ref="P21">Lagrange_unified($S$16:$V$16,$S$17:$V$17,O21)</f>
        <v>-0.55521943218185921</v>
      </c>
      <c r="AA21">
        <v>5</v>
      </c>
      <c r="AB21" s="10">
        <f>Y12</f>
        <v>9.000001000000001</v>
      </c>
      <c r="AC21" s="10">
        <f>Z12</f>
        <v>8.0000013908650587</v>
      </c>
      <c r="AD21">
        <f t="shared" si="7"/>
        <v>1.3391850994118812</v>
      </c>
      <c r="AE21">
        <f t="shared" si="8"/>
        <v>3.0937049845505819E-2</v>
      </c>
      <c r="AF21">
        <f t="shared" si="9"/>
        <v>-2.0583523141437065E-3</v>
      </c>
      <c r="AG21">
        <f t="shared" ref="AG21:AG23" si="10">(AF21-AF20)/(AB21-AB17)</f>
        <v>3.4981219107161932E-4</v>
      </c>
      <c r="AH21">
        <f>(AG21-AG20)/(AB21-AB16)</f>
        <v>-1.6294872650922682E-3</v>
      </c>
    </row>
    <row r="22" spans="2:36" ht="15.75" x14ac:dyDescent="0.25">
      <c r="B22" s="1">
        <v>4.9998899999999997</v>
      </c>
      <c r="C22" s="1">
        <f t="shared" si="2"/>
        <v>2.8906308454640706</v>
      </c>
      <c r="L22" s="5">
        <v>1.49996</v>
      </c>
      <c r="M22" s="6" cm="1">
        <f t="array" ref="M22">Lagrange_unified($M$11:$T$11,$M$12:$T$12,L22)</f>
        <v>-0.51072382347903333</v>
      </c>
      <c r="O22" s="5">
        <v>1.49996</v>
      </c>
      <c r="P22" s="6" cm="1">
        <f t="array" ref="P22">Lagrange_unified($S$16:$V$16,$S$17:$V$17,O22)</f>
        <v>-0.26368677153357778</v>
      </c>
      <c r="AA22">
        <v>6</v>
      </c>
      <c r="AB22" s="10">
        <f>Y13</f>
        <v>11.000001000000001</v>
      </c>
      <c r="AC22" s="10">
        <f>Z13</f>
        <v>10.870995183808416</v>
      </c>
      <c r="AD22">
        <f t="shared" si="7"/>
        <v>1.4354968964716788</v>
      </c>
      <c r="AE22">
        <f t="shared" si="8"/>
        <v>2.4077949264949376E-2</v>
      </c>
      <c r="AF22">
        <f t="shared" si="9"/>
        <v>-1.1431834300927404E-3</v>
      </c>
      <c r="AG22">
        <f t="shared" si="10"/>
        <v>1.1439611050637077E-4</v>
      </c>
      <c r="AH22">
        <f>(AG22-AG21)/(AB22-AB16)</f>
        <v>-1.9618006713770708E-5</v>
      </c>
      <c r="AI22">
        <f>(AH22-AH21)/(AB22-AB16)</f>
        <v>1.3415577153154143E-4</v>
      </c>
    </row>
    <row r="23" spans="2:36" ht="15.75" x14ac:dyDescent="0.25">
      <c r="B23" s="1">
        <v>5.4998800000000001</v>
      </c>
      <c r="C23" s="1">
        <f t="shared" si="2"/>
        <v>3.4708818148944394</v>
      </c>
      <c r="L23" s="5">
        <v>1.9999499999999999</v>
      </c>
      <c r="M23" s="6" cm="1">
        <f t="array" ref="M23">Lagrange_unified($M$11:$T$11,$M$12:$T$12,L23)</f>
        <v>-0.14081514535872613</v>
      </c>
      <c r="O23" s="5">
        <v>1.9999499999999999</v>
      </c>
      <c r="P23" s="6" cm="1">
        <f t="array" ref="P23">Lagrange_unified($S$16:$V$16,$S$17:$V$17,O23)</f>
        <v>7.0953211273125372E-2</v>
      </c>
      <c r="AA23">
        <v>7</v>
      </c>
      <c r="AB23" s="10">
        <f>Y14</f>
        <v>13.000001000000001</v>
      </c>
      <c r="AC23" s="10">
        <f>Z14</f>
        <v>13.899666013218598</v>
      </c>
      <c r="AD23">
        <f>(AC23-AC22)/(AB23-AB22)</f>
        <v>1.5143354147050907</v>
      </c>
      <c r="AE23">
        <f>(AD23-AD22)/(AB23-AB21)</f>
        <v>1.9709629558352981E-2</v>
      </c>
      <c r="AF23">
        <f t="shared" si="9"/>
        <v>-7.2805328443273235E-4</v>
      </c>
      <c r="AG23">
        <f t="shared" si="10"/>
        <v>5.1891268207501003E-5</v>
      </c>
      <c r="AH23">
        <f>(AG23-AG22)/(AB23-AB17)</f>
        <v>-5.2087368582391473E-6</v>
      </c>
      <c r="AI23">
        <f>(AH23-AH22)/(AB23-AB17)</f>
        <v>1.2007724879609634E-6</v>
      </c>
      <c r="AJ23">
        <f>(AI23-AI22)/(AB23-AB16)</f>
        <v>-9.4967856459700321E-6</v>
      </c>
    </row>
    <row r="24" spans="2:36" ht="15.75" x14ac:dyDescent="0.25">
      <c r="B24" s="1">
        <v>5.9998699999999996</v>
      </c>
      <c r="C24" s="1">
        <f t="shared" si="2"/>
        <v>4.0704299851257941</v>
      </c>
      <c r="L24" s="5">
        <v>2.4999400000000001</v>
      </c>
      <c r="M24" s="6" cm="1">
        <f t="array" ref="M24">Lagrange_unified($M$11:$T$11,$M$12:$T$12,L24)</f>
        <v>0.31520606101969784</v>
      </c>
      <c r="O24" s="5">
        <v>2.4999400000000001</v>
      </c>
      <c r="P24" s="6" cm="1">
        <f t="array" ref="P24">Lagrange_unified($S$16:$V$16,$S$17:$V$17,O24)</f>
        <v>0.44646068979955877</v>
      </c>
    </row>
    <row r="25" spans="2:36" ht="15.75" x14ac:dyDescent="0.25">
      <c r="B25" s="1">
        <v>6.49986</v>
      </c>
      <c r="C25" s="1">
        <f t="shared" si="2"/>
        <v>4.6877230097151843</v>
      </c>
      <c r="L25" s="5">
        <v>2.99993</v>
      </c>
      <c r="M25" s="6" cm="1">
        <f t="array" ref="M25">Lagrange_unified($M$11:$T$11,$M$12:$T$12,L25)</f>
        <v>0.80611001214691658</v>
      </c>
      <c r="O25" s="5">
        <v>2.99993</v>
      </c>
      <c r="P25" s="6" cm="1">
        <f t="array" ref="P25">Lagrange_unified($S$16:$V$16,$S$17:$V$17,O25)</f>
        <v>0.86059583760703462</v>
      </c>
    </row>
    <row r="26" spans="2:36" ht="15.75" x14ac:dyDescent="0.25">
      <c r="B26" s="1">
        <v>6.9998500000000003</v>
      </c>
      <c r="C26" s="1">
        <f t="shared" si="2"/>
        <v>5.3214374449818784</v>
      </c>
      <c r="L26" s="5">
        <v>3.4999199999999999</v>
      </c>
      <c r="M26" s="6" cm="1">
        <f t="array" ref="M26">Lagrange_unified($M$11:$T$11,$M$12:$T$12,L26)</f>
        <v>1.3098820943871163</v>
      </c>
      <c r="O26" s="5">
        <v>3.4999199999999999</v>
      </c>
      <c r="P26" s="6" cm="1">
        <f t="array" ref="P26">Lagrange_unified($S$16:$V$16,$S$17:$V$17,O26)</f>
        <v>1.3111188282568629</v>
      </c>
    </row>
    <row r="27" spans="2:36" ht="15.75" x14ac:dyDescent="0.25">
      <c r="B27" s="1">
        <v>7.4998399999999998</v>
      </c>
      <c r="C27" s="1">
        <f t="shared" si="2"/>
        <v>5.9704319243978725</v>
      </c>
      <c r="L27" s="5">
        <v>3.9999099999999999</v>
      </c>
      <c r="M27" s="6" cm="1">
        <f t="array" ref="M27">Lagrange_unified($M$11:$T$11,$M$12:$T$12,L27)</f>
        <v>1.8219874038788353</v>
      </c>
      <c r="O27" s="5">
        <v>3.9999099999999999</v>
      </c>
      <c r="P27" s="6" cm="1">
        <f t="array" ref="P27">Lagrange_unified($S$16:$V$16,$S$17:$V$17,O27)</f>
        <v>1.7957898353103539</v>
      </c>
    </row>
    <row r="28" spans="2:36" ht="15.75" x14ac:dyDescent="0.25">
      <c r="B28" s="1">
        <v>7.9998300000000002</v>
      </c>
      <c r="C28" s="1">
        <f t="shared" si="2"/>
        <v>6.6337122283410501</v>
      </c>
      <c r="F28" s="8"/>
      <c r="L28" s="5">
        <v>4.4999000000000002</v>
      </c>
      <c r="M28" s="6" cm="1">
        <f t="array" ref="M28">Lagrange_unified($M$11:$T$11,$M$12:$T$12,L28)</f>
        <v>2.3466299176056702</v>
      </c>
      <c r="O28" s="5">
        <v>4.4999000000000002</v>
      </c>
      <c r="P28" s="6" cm="1">
        <f t="array" ref="P28">Lagrange_unified($S$16:$V$16,$S$17:$V$17,O28)</f>
        <v>2.31236903232882</v>
      </c>
    </row>
    <row r="29" spans="2:36" ht="15.75" x14ac:dyDescent="0.25">
      <c r="B29" s="1">
        <v>8.4998199999999997</v>
      </c>
      <c r="C29" s="1">
        <f t="shared" si="2"/>
        <v>7.310404711255611</v>
      </c>
      <c r="E29" s="5"/>
      <c r="F29" s="5" t="s">
        <v>13</v>
      </c>
      <c r="G29" s="5" t="s">
        <v>14</v>
      </c>
      <c r="L29" s="5">
        <v>4.9998899999999997</v>
      </c>
      <c r="M29" s="6" cm="1">
        <f t="array" ref="M29">Lagrange_unified($M$11:$T$11,$M$12:$T$12,L29)</f>
        <v>2.8906340068552243</v>
      </c>
      <c r="O29" s="5">
        <v>4.9998899999999997</v>
      </c>
      <c r="P29" s="6" cm="1">
        <f t="array" ref="P29">Lagrange_unified($S$16:$V$16,$S$17:$V$17,O29)</f>
        <v>2.8586165928735694</v>
      </c>
      <c r="AC29" s="5" t="s">
        <v>8</v>
      </c>
      <c r="AD29" s="6" t="s">
        <v>25</v>
      </c>
    </row>
    <row r="30" spans="2:36" ht="15.75" x14ac:dyDescent="0.25">
      <c r="B30" s="1">
        <v>8.9998100000000001</v>
      </c>
      <c r="C30" s="1">
        <f t="shared" si="2"/>
        <v>7.9997357365058921</v>
      </c>
      <c r="E30" s="7">
        <v>-0.99999000000000005</v>
      </c>
      <c r="F30" s="9" t="s">
        <v>15</v>
      </c>
      <c r="G30" s="5">
        <f>$F$10+((E30-$E$10)*($F$11-$F$10))/($E$11-$E$10)</f>
        <v>4.9999683546518243</v>
      </c>
      <c r="L30" s="5">
        <v>5.4998800000000001</v>
      </c>
      <c r="M30" s="6" cm="1">
        <f t="array" ref="M30">Lagrange_unified($M$11:$T$11,$M$12:$T$12,L30)</f>
        <v>3.4595760042846928</v>
      </c>
      <c r="O30" s="5">
        <v>5.4998800000000001</v>
      </c>
      <c r="P30" s="6" cm="1">
        <f t="array" ref="P30">Lagrange_unified($S$16:$V$16,$S$17:$V$17,O30)</f>
        <v>3.432292690505915</v>
      </c>
      <c r="AC30" s="7">
        <v>-0.99999000000000005</v>
      </c>
      <c r="AD30" s="6">
        <f>$AC$16+$AD$17*(AC30-$AB$16)+$AE$18*(AC30-$AB$16)*(AC30-$AB$17)+$AF$19*(AC30-$AB$16)*(AC30-$AB$17)*(AC30-$AB$18)+$AG$20*(AC30-$AB$16)*(AC30-$AB$17)*(AC30-$AB$18)*(AC30-$AB$19)+$AH$21*(AC30-$AB$16)*(AC30-$AB$17)*(AC30-$AB$18)*(AC30-$AB$19)*(AC30-$AB$20)+$AI$22*(AC30-$AB$16)*(AC30-$AB$17)*(AC30-$AB$18)*(AC30-$AB$19)*(AC30-$AB$20)*(AC30-$AB$21)+$AJ$23*(AC30-$AB$16)*(AC30-$AB$17)*(AC30-$AB$18)*(AC30-$AB$19)*(AC30-$AB$20)*(AC30-$AB$21)*(AC30-$AB$22)</f>
        <v>4.9999208117648974</v>
      </c>
    </row>
    <row r="31" spans="2:36" ht="15.75" x14ac:dyDescent="0.25">
      <c r="B31" s="1">
        <v>9.4998000000000005</v>
      </c>
      <c r="C31" s="1">
        <f t="shared" si="2"/>
        <v>8.7010155175900792</v>
      </c>
      <c r="E31" s="5">
        <v>-0.5</v>
      </c>
      <c r="F31" s="9" t="s">
        <v>15</v>
      </c>
      <c r="G31" s="5">
        <f>$F$10+((E31-$E$10)*($F$11-$F$10))/($E$11-$E$10)</f>
        <v>3.5752559779327218</v>
      </c>
      <c r="L31" s="5">
        <v>5.9998699999999996</v>
      </c>
      <c r="M31" s="6" cm="1">
        <f t="array" ref="M31">Lagrange_unified($M$11:$T$11,$M$12:$T$12,L31)</f>
        <v>4.0557935358114259</v>
      </c>
      <c r="O31" s="5">
        <v>5.9998699999999996</v>
      </c>
      <c r="P31" s="6" cm="1">
        <f t="array" ref="P31">Lagrange_unified($S$16:$V$16,$S$17:$V$17,O31)</f>
        <v>4.0311574987871648</v>
      </c>
      <c r="AC31" s="5">
        <v>-0.5</v>
      </c>
      <c r="AD31" s="6">
        <f t="shared" ref="AD31:AD53" si="11">$AC$16+$AD$17*(AC31-$AB$16)+$AE$18*(AC31-$AB$16)*(AC31-$AB$17)+$AF$19*(AC31-$AB$16)*(AC31-$AB$17)*(AC31-$AB$18)+$AG$20*(AC31-$AB$16)*(AC31-$AB$17)*(AC31-$AB$18)*(AC31-$AB$19)+$AH$21*(AC31-$AB$16)*(AC31-$AB$17)*(AC31-$AB$18)*(AC31-$AB$19)*(AC31-$AB$20)+$AI$22*(AC31-$AB$16)*(AC31-$AB$17)*(AC31-$AB$18)*(AC31-$AB$19)*(AC31-$AB$20)*(AC31-$AB$21)+$AJ$23*(AC31-$AB$16)*(AC31-$AB$17)*(AC31-$AB$18)*(AC31-$AB$19)*(AC31-$AB$20)*(AC31-$AB$21)*(AC31-$AB$22)</f>
        <v>1.8704872525354106</v>
      </c>
    </row>
    <row r="32" spans="2:36" ht="15.75" x14ac:dyDescent="0.25">
      <c r="B32" s="1">
        <v>9.9997900000000008</v>
      </c>
      <c r="C32" s="1">
        <f t="shared" si="2"/>
        <v>9.4136252493033528</v>
      </c>
      <c r="E32" s="5">
        <v>-1.00000000000655E-5</v>
      </c>
      <c r="F32" s="9" t="s">
        <v>15</v>
      </c>
      <c r="G32" s="5">
        <f>$F$10+((E32-$E$10)*($F$11-$F$10))/($E$11-$E$10)</f>
        <v>2.1505436012136201</v>
      </c>
      <c r="L32" s="5">
        <v>6.49986</v>
      </c>
      <c r="M32" s="6" cm="1">
        <f t="array" ref="M32">Lagrange_unified($M$11:$T$11,$M$12:$T$12,L32)</f>
        <v>4.6779003285469045</v>
      </c>
      <c r="O32" s="5">
        <v>6.49986</v>
      </c>
      <c r="P32" s="6" cm="1">
        <f t="array" ref="P32">Lagrange_unified($S$16:$V$16,$S$17:$V$17,O32)</f>
        <v>4.652971191278632</v>
      </c>
      <c r="AC32" s="5">
        <v>-1.00000000000655E-5</v>
      </c>
      <c r="AD32" s="6">
        <f t="shared" si="11"/>
        <v>0.18971734798464282</v>
      </c>
    </row>
    <row r="33" spans="2:30" ht="15.75" x14ac:dyDescent="0.25">
      <c r="B33" s="1">
        <v>10.499779999999999</v>
      </c>
      <c r="C33" s="1">
        <f t="shared" si="2"/>
        <v>10.137006734637673</v>
      </c>
      <c r="E33" s="5">
        <v>0.49997999999999998</v>
      </c>
      <c r="F33" s="9" t="s">
        <v>16</v>
      </c>
      <c r="G33" s="5">
        <f>$F$11+((E33-$E$11)*($F$12-$F$11))/($E$12-$E$11)</f>
        <v>-1.0752728872185493</v>
      </c>
      <c r="L33" s="5">
        <v>6.9998500000000003</v>
      </c>
      <c r="M33" s="6" cm="1">
        <f t="array" ref="M33">Lagrange_unified($M$11:$T$11,$M$12:$T$12,L33)</f>
        <v>5.32143420599244</v>
      </c>
      <c r="O33" s="5">
        <v>6.9998500000000003</v>
      </c>
      <c r="P33" s="6" cm="1">
        <f t="array" ref="P33">Lagrange_unified($S$16:$V$16,$S$17:$V$17,O33)</f>
        <v>5.2954939415416273</v>
      </c>
      <c r="AC33" s="5">
        <v>0.49997999999999998</v>
      </c>
      <c r="AD33" s="6">
        <f t="shared" si="11"/>
        <v>-0.54720584400955363</v>
      </c>
    </row>
    <row r="34" spans="2:30" ht="15.75" x14ac:dyDescent="0.25">
      <c r="E34" s="5">
        <v>0.99997000000000003</v>
      </c>
      <c r="F34" s="9" t="s">
        <v>16</v>
      </c>
      <c r="G34" s="5">
        <f>$F$11+((E34-$E$11)*($F$12-$F$11))/($E$12-$E$11)</f>
        <v>-0.69899281598963225</v>
      </c>
      <c r="L34" s="5">
        <v>7.4998399999999998</v>
      </c>
      <c r="M34" s="6" cm="1">
        <f t="array" ref="M34">Lagrange_unified($M$11:$T$11,$M$12:$T$12,L34)</f>
        <v>5.9802659817150392</v>
      </c>
      <c r="O34" s="5">
        <v>7.4998399999999998</v>
      </c>
      <c r="P34" s="6" cm="1">
        <f t="array" ref="P34">Lagrange_unified($S$16:$V$16,$S$17:$V$17,O34)</f>
        <v>5.9564859231374587</v>
      </c>
      <c r="AC34" s="5">
        <v>0.99997000000000003</v>
      </c>
      <c r="AD34" s="6">
        <f t="shared" si="11"/>
        <v>-0.69897265733679503</v>
      </c>
    </row>
    <row r="35" spans="2:30" ht="15.75" x14ac:dyDescent="0.25">
      <c r="E35" s="5">
        <v>1.49996</v>
      </c>
      <c r="F35" s="9" t="s">
        <v>16</v>
      </c>
      <c r="G35" s="5">
        <f>$F$11+((E35-$E$11)*($F$12-$F$11))/($E$12-$E$11)</f>
        <v>-0.3227127447607151</v>
      </c>
      <c r="L35" s="5">
        <v>7.9998300000000002</v>
      </c>
      <c r="M35" s="6" cm="1">
        <f t="array" ref="M35">Lagrange_unified($M$11:$T$11,$M$12:$T$12,L35)</f>
        <v>6.6483969627217689</v>
      </c>
      <c r="O35" s="5">
        <v>7.9998300000000002</v>
      </c>
      <c r="P35" s="6" cm="1">
        <f t="array" ref="P35">Lagrange_unified($S$16:$V$16,$S$17:$V$17,O35)</f>
        <v>6.6337073096274395</v>
      </c>
      <c r="AC35" s="5">
        <v>1.49996</v>
      </c>
      <c r="AD35" s="6">
        <f t="shared" si="11"/>
        <v>-0.51053114574320291</v>
      </c>
    </row>
    <row r="36" spans="2:30" ht="15.75" x14ac:dyDescent="0.25">
      <c r="E36" s="5">
        <v>1.9999499999999999</v>
      </c>
      <c r="F36" s="9" t="s">
        <v>16</v>
      </c>
      <c r="G36" s="5">
        <f>$F$11+((E36-$E$11)*($F$12-$F$11))/($E$12-$E$11)</f>
        <v>5.3567326468202059E-2</v>
      </c>
      <c r="L36" s="5">
        <v>8.4998199999999997</v>
      </c>
      <c r="M36" s="6" cm="1">
        <f t="array" ref="M36">Lagrange_unified($M$11:$T$11,$M$12:$T$12,L36)</f>
        <v>7.3217727737510252</v>
      </c>
      <c r="O36" s="5">
        <v>8.4998199999999997</v>
      </c>
      <c r="P36" s="6" cm="1">
        <f t="array" ref="P36">Lagrange_unified($S$16:$V$16,$S$17:$V$17,O36)</f>
        <v>7.3249182745728794</v>
      </c>
      <c r="AC36" s="5">
        <v>1.9999499999999999</v>
      </c>
      <c r="AD36" s="6">
        <f t="shared" si="11"/>
        <v>-0.14059730430586037</v>
      </c>
    </row>
    <row r="37" spans="2:30" ht="15.75" x14ac:dyDescent="0.25">
      <c r="E37" s="5">
        <v>2.4999400000000001</v>
      </c>
      <c r="F37" s="9" t="s">
        <v>17</v>
      </c>
      <c r="G37" s="5">
        <f>$F$12+((E37-$E$12)*($F$13-$F$12))/($E$13-$E$12)</f>
        <v>0.28497319962766332</v>
      </c>
      <c r="L37" s="5">
        <v>8.9998100000000001</v>
      </c>
      <c r="M37" s="6" cm="1">
        <f t="array" ref="M37">Lagrange_unified($M$11:$T$11,$M$12:$T$12,L37)</f>
        <v>7.9997412136990587</v>
      </c>
      <c r="O37" s="5">
        <v>8.9998100000000001</v>
      </c>
      <c r="P37" s="6" cm="1">
        <f t="array" ref="P37">Lagrange_unified($S$16:$V$16,$S$17:$V$17,O37)</f>
        <v>8.0278789915350899</v>
      </c>
      <c r="AC37" s="5">
        <v>2.4999400000000001</v>
      </c>
      <c r="AD37" s="6">
        <f t="shared" si="11"/>
        <v>0.31533493212041874</v>
      </c>
    </row>
    <row r="38" spans="2:30" ht="15.75" x14ac:dyDescent="0.25">
      <c r="E38" s="5">
        <v>2.99993</v>
      </c>
      <c r="F38" s="9" t="s">
        <v>17</v>
      </c>
      <c r="G38" s="5">
        <f>$F$12+((E38-$E$12)*($F$13-$F$12))/($E$13-$E$12)</f>
        <v>0.80610689929940493</v>
      </c>
      <c r="L38" s="5">
        <v>9.4998000000000005</v>
      </c>
      <c r="M38" s="6" cm="1">
        <f t="array" ref="M38">Lagrange_unified($M$11:$T$11,$M$12:$T$12,L38)</f>
        <v>8.6857818554001724</v>
      </c>
      <c r="O38" s="5">
        <v>9.4998000000000005</v>
      </c>
      <c r="P38" s="6" cm="1">
        <f t="array" ref="P38">Lagrange_unified($S$16:$V$16,$S$17:$V$17,O38)</f>
        <v>8.7403496340753808</v>
      </c>
      <c r="AC38" s="5">
        <v>2.99993</v>
      </c>
      <c r="AD38" s="6">
        <f t="shared" si="11"/>
        <v>0.80611002989705149</v>
      </c>
    </row>
    <row r="39" spans="2:30" ht="15.75" x14ac:dyDescent="0.25">
      <c r="E39" s="5">
        <v>3.4999199999999999</v>
      </c>
      <c r="F39" s="9" t="s">
        <v>17</v>
      </c>
      <c r="G39" s="5">
        <f>$F$12+((E39-$E$12)*($F$13-$F$12))/($E$13-$E$12)</f>
        <v>1.3272405989711467</v>
      </c>
      <c r="L39" s="5">
        <v>9.9997900000000008</v>
      </c>
      <c r="M39" s="6" cm="1">
        <f t="array" ref="M39">Lagrange_unified($M$11:$T$11,$M$12:$T$12,L39)</f>
        <v>9.3871350999789289</v>
      </c>
      <c r="O39" s="5">
        <v>9.9997900000000008</v>
      </c>
      <c r="P39" s="6" cm="1">
        <f t="array" ref="P39">Lagrange_unified($S$16:$V$16,$S$17:$V$17,O39)</f>
        <v>9.4600903757550618</v>
      </c>
      <c r="AC39" s="5">
        <v>3.4999199999999999</v>
      </c>
      <c r="AD39" s="6">
        <f t="shared" si="11"/>
        <v>1.3097796534495019</v>
      </c>
    </row>
    <row r="40" spans="2:30" ht="15.75" x14ac:dyDescent="0.25">
      <c r="E40" s="5">
        <v>3.9999099999999999</v>
      </c>
      <c r="F40" s="9" t="s">
        <v>17</v>
      </c>
      <c r="G40" s="5">
        <f>$F$12+((E40-$E$12)*($F$13-$F$12))/($E$13-$E$12)</f>
        <v>1.8483742986428884</v>
      </c>
      <c r="L40" s="5">
        <v>10.499779999999999</v>
      </c>
      <c r="M40" s="6" cm="1">
        <f t="array" ref="M40">Lagrange_unified($M$11:$T$11,$M$12:$T$12,L40)</f>
        <v>10.112958396992788</v>
      </c>
      <c r="O40" s="5">
        <v>10.499779999999999</v>
      </c>
      <c r="P40" s="6" cm="1">
        <f t="array" ref="P40">Lagrange_unified($S$16:$V$16,$S$17:$V$17,O40)</f>
        <v>10.184861390135442</v>
      </c>
      <c r="AC40" s="5">
        <v>3.9999099999999999</v>
      </c>
      <c r="AD40" s="6">
        <f t="shared" si="11"/>
        <v>1.8218500343819857</v>
      </c>
    </row>
    <row r="41" spans="2:30" ht="15.75" x14ac:dyDescent="0.25">
      <c r="E41" s="5">
        <v>4.4999000000000002</v>
      </c>
      <c r="F41" s="9" t="s">
        <v>18</v>
      </c>
      <c r="G41" s="5">
        <f>$F$13+((E41-$E$13)*($F$14-$F$13))/($E$14-$E$13)</f>
        <v>2.2829161828397471</v>
      </c>
      <c r="AC41" s="5">
        <v>4.4999000000000002</v>
      </c>
      <c r="AD41" s="6">
        <f t="shared" si="11"/>
        <v>2.3465340292721821</v>
      </c>
    </row>
    <row r="42" spans="2:30" ht="15.75" x14ac:dyDescent="0.25">
      <c r="E42" s="5">
        <v>4.9998899999999997</v>
      </c>
      <c r="F42" s="9" t="s">
        <v>18</v>
      </c>
      <c r="G42" s="5">
        <f>$F$13+((E42-$E$13)*($F$14-$F$13))/($E$14-$E$13)</f>
        <v>2.8906224784856751</v>
      </c>
      <c r="AC42" s="5">
        <v>4.9998899999999997</v>
      </c>
      <c r="AD42" s="6">
        <f t="shared" si="11"/>
        <v>2.8906339825590046</v>
      </c>
    </row>
    <row r="43" spans="2:30" ht="15.75" x14ac:dyDescent="0.25">
      <c r="E43" s="5">
        <v>5.4998800000000001</v>
      </c>
      <c r="F43" s="9" t="s">
        <v>18</v>
      </c>
      <c r="G43" s="5">
        <f>$F$13+((E43-$E$13)*($F$14-$F$13))/($E$14-$E$13)</f>
        <v>3.498328774131604</v>
      </c>
      <c r="AC43" s="5">
        <v>5.4998800000000001</v>
      </c>
      <c r="AD43" s="6">
        <f t="shared" si="11"/>
        <v>3.4596815109365266</v>
      </c>
    </row>
    <row r="44" spans="2:30" ht="15.75" x14ac:dyDescent="0.25">
      <c r="E44" s="5">
        <v>5.9998699999999996</v>
      </c>
      <c r="F44" s="9" t="s">
        <v>18</v>
      </c>
      <c r="G44" s="5">
        <f>$F$13+((E44-$E$13)*($F$14-$F$13))/($E$14-$E$13)</f>
        <v>4.1060350697775325</v>
      </c>
      <c r="AC44" s="5">
        <v>5.9998699999999996</v>
      </c>
      <c r="AD44" s="6">
        <f t="shared" si="11"/>
        <v>4.0559603256671473</v>
      </c>
    </row>
    <row r="45" spans="2:30" ht="15.75" x14ac:dyDescent="0.25">
      <c r="E45" s="5">
        <v>6.49986</v>
      </c>
      <c r="F45" s="9" t="s">
        <v>19</v>
      </c>
      <c r="G45" s="5">
        <f>$F$14+((E45-$E$14)*($F$15-$F$14))/($E$15-$E$14)</f>
        <v>4.6518498172363367</v>
      </c>
      <c r="AC45" s="5">
        <v>6.49986</v>
      </c>
      <c r="AD45" s="6">
        <f t="shared" si="11"/>
        <v>4.6780382092270418</v>
      </c>
    </row>
    <row r="46" spans="2:30" ht="15.75" x14ac:dyDescent="0.25">
      <c r="E46" s="5">
        <v>6.9998500000000003</v>
      </c>
      <c r="F46" s="9" t="s">
        <v>19</v>
      </c>
      <c r="G46" s="5">
        <f>$F$14+((E46-$E$14)*($F$15-$F$14))/($E$15-$E$14)</f>
        <v>5.3214289750912842</v>
      </c>
      <c r="AC46" s="5">
        <v>6.9998500000000003</v>
      </c>
      <c r="AD46" s="6">
        <f t="shared" si="11"/>
        <v>5.321434262697025</v>
      </c>
    </row>
    <row r="47" spans="2:30" ht="15.75" x14ac:dyDescent="0.25">
      <c r="E47" s="5">
        <v>7.4998399999999998</v>
      </c>
      <c r="F47" s="9" t="s">
        <v>19</v>
      </c>
      <c r="G47" s="5">
        <f>$F$14+((E47-$E$14)*($F$15-$F$14))/($E$15-$E$14)</f>
        <v>5.9910081329462299</v>
      </c>
      <c r="AC47" s="5">
        <v>7.4998399999999998</v>
      </c>
      <c r="AD47" s="6">
        <f t="shared" si="11"/>
        <v>5.9800475403118831</v>
      </c>
    </row>
    <row r="48" spans="2:30" ht="15.75" x14ac:dyDescent="0.25">
      <c r="E48" s="5">
        <v>7.9998300000000002</v>
      </c>
      <c r="F48" s="9" t="s">
        <v>19</v>
      </c>
      <c r="G48" s="5">
        <f>$F$14+((E48-$E$14)*($F$15-$F$14))/($E$15-$E$14)</f>
        <v>6.6605872908011765</v>
      </c>
      <c r="AC48" s="5">
        <v>7.9998300000000002</v>
      </c>
      <c r="AD48" s="6">
        <f t="shared" si="11"/>
        <v>6.6479731875812096</v>
      </c>
    </row>
    <row r="49" spans="5:30" ht="15.75" x14ac:dyDescent="0.25">
      <c r="E49" s="5">
        <v>8.4998199999999997</v>
      </c>
      <c r="F49" s="9" t="s">
        <v>20</v>
      </c>
      <c r="G49" s="5">
        <f>$F$15+((E49-$E$15)*($F$16-$F$15))/($E$16-$E$15)</f>
        <v>7.2819931176909556</v>
      </c>
      <c r="AC49" s="5">
        <v>8.4998199999999997</v>
      </c>
      <c r="AD49" s="6">
        <f t="shared" si="11"/>
        <v>7.3213321993950045</v>
      </c>
    </row>
    <row r="50" spans="5:30" ht="15.75" x14ac:dyDescent="0.25">
      <c r="E50" s="5">
        <v>8.9998100000000001</v>
      </c>
      <c r="F50" s="9" t="s">
        <v>20</v>
      </c>
      <c r="G50" s="5">
        <f>$F$15+((E50-$E$15)*($F$16-$F$15))/($E$16-$E$15)</f>
        <v>7.9997272109578317</v>
      </c>
      <c r="AC50" s="5">
        <v>8.9998100000000001</v>
      </c>
      <c r="AD50" s="6">
        <f t="shared" si="11"/>
        <v>7.9997409145267842</v>
      </c>
    </row>
    <row r="51" spans="5:30" ht="15.75" x14ac:dyDescent="0.25">
      <c r="E51" s="5">
        <v>9.4998000000000005</v>
      </c>
      <c r="F51" s="9" t="s">
        <v>20</v>
      </c>
      <c r="G51" s="5">
        <f>$F$15+((E51-$E$15)*($F$16-$F$15))/($E$16-$E$15)</f>
        <v>8.717461304224706</v>
      </c>
      <c r="AC51" s="5">
        <v>9.4998000000000005</v>
      </c>
      <c r="AD51" s="6">
        <f t="shared" si="11"/>
        <v>8.6870463629475712</v>
      </c>
    </row>
    <row r="52" spans="5:30" ht="15.75" x14ac:dyDescent="0.25">
      <c r="E52" s="5">
        <v>9.9997900000000008</v>
      </c>
      <c r="F52" s="9" t="s">
        <v>20</v>
      </c>
      <c r="G52" s="5">
        <f>$F$15+((E52-$E$15)*($F$16-$F$15))/($E$16-$E$15)</f>
        <v>9.4351953974915812</v>
      </c>
      <c r="AC52" s="5">
        <v>9.9997900000000008</v>
      </c>
      <c r="AD52" s="6">
        <f t="shared" si="11"/>
        <v>9.3909535823638972</v>
      </c>
    </row>
    <row r="53" spans="5:30" ht="15.75" x14ac:dyDescent="0.25">
      <c r="E53" s="5">
        <v>10.499779999999999</v>
      </c>
      <c r="F53" s="9" t="s">
        <v>21</v>
      </c>
      <c r="G53" s="5">
        <f>$F$16+((E53-$E$16)*($F$17-$F$16))/($E$17-$E$16)</f>
        <v>10.113492808329219</v>
      </c>
      <c r="AC53" s="5">
        <v>10.499779999999999</v>
      </c>
      <c r="AD53" s="6">
        <f t="shared" si="11"/>
        <v>10.121171020392516</v>
      </c>
    </row>
  </sheetData>
  <mergeCells count="5">
    <mergeCell ref="B3:C3"/>
    <mergeCell ref="B7:C7"/>
    <mergeCell ref="Z2:AG2"/>
    <mergeCell ref="D2:G2"/>
    <mergeCell ref="L2:R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Косован</dc:creator>
  <cp:lastModifiedBy>Михаил Косован</cp:lastModifiedBy>
  <dcterms:created xsi:type="dcterms:W3CDTF">2020-10-14T06:44:44Z</dcterms:created>
  <dcterms:modified xsi:type="dcterms:W3CDTF">2020-11-06T04:05:08Z</dcterms:modified>
</cp:coreProperties>
</file>