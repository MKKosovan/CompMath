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Mikha\Desktop\GUU\4course1\ЧМ\"/>
    </mc:Choice>
  </mc:AlternateContent>
  <xr:revisionPtr revIDLastSave="0" documentId="13_ncr:1_{98FD530F-C1E0-45B0-9CFF-FD68844FA7F2}" xr6:coauthVersionLast="45" xr6:coauthVersionMax="45" xr10:uidLastSave="{00000000-0000-0000-0000-000000000000}"/>
  <bookViews>
    <workbookView xWindow="-120" yWindow="-120" windowWidth="29040" windowHeight="15840" xr2:uid="{50BB5E57-5A03-418C-9A83-AB074F60EFC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K5" i="1"/>
  <c r="J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5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" i="1"/>
  <c r="G1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5" i="1"/>
  <c r="C1" i="1"/>
</calcChain>
</file>

<file path=xl/sharedStrings.xml><?xml version="1.0" encoding="utf-8"?>
<sst xmlns="http://schemas.openxmlformats.org/spreadsheetml/2006/main" count="10" uniqueCount="10">
  <si>
    <t>h</t>
  </si>
  <si>
    <t>cos(0.3x)*cos(0.7x)</t>
  </si>
  <si>
    <t>x</t>
  </si>
  <si>
    <t>f(x)</t>
  </si>
  <si>
    <t>ПИ/160</t>
  </si>
  <si>
    <t>Пи/4</t>
  </si>
  <si>
    <t>Метод прямоугольников</t>
  </si>
  <si>
    <t>Метод трапеций</t>
  </si>
  <si>
    <t>Метод Симпсона</t>
  </si>
  <si>
    <t>Значение интеграла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</si>
</sst>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19050</xdr:rowOff>
    </xdr:from>
    <xdr:to>
      <xdr:col>3</xdr:col>
      <xdr:colOff>0</xdr:colOff>
      <xdr:row>3</xdr:row>
      <xdr:rowOff>38100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AEED4A-4318-4A26-80B5-F7418CC04DB7}"/>
                </a:ext>
              </a:extLst>
            </xdr:cNvPr>
            <xdr:cNvSpPr txBox="1"/>
          </xdr:nvSpPr>
          <xdr:spPr>
            <a:xfrm>
              <a:off x="1219200" y="609600"/>
              <a:ext cx="1171575" cy="4572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d>
                              <m:dPr>
                                <m:begChr m:val="{"/>
                                <m:endChr m:val="}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e>
                            </m:d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AEED4A-4318-4A26-80B5-F7418CC04DB7}"/>
                </a:ext>
              </a:extLst>
            </xdr:cNvPr>
            <xdr:cNvSpPr txBox="1"/>
          </xdr:nvSpPr>
          <xdr:spPr>
            <a:xfrm>
              <a:off x="1219200" y="609600"/>
              <a:ext cx="1171575" cy="4572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𝑓((𝑥_{𝑖−1} +𝑥_𝑖)/2)</a:t>
              </a:r>
              <a:endParaRPr lang="ru-RU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C7C-5C32-482D-9220-62EDD62F226B}">
  <sheetPr codeName="Лист1"/>
  <dimension ref="A1:L44"/>
  <sheetViews>
    <sheetView tabSelected="1" workbookViewId="0">
      <selection activeCell="I10" sqref="I10"/>
    </sheetView>
  </sheetViews>
  <sheetFormatPr defaultRowHeight="15" x14ac:dyDescent="0.25"/>
  <cols>
    <col min="3" max="3" width="17.5703125" customWidth="1"/>
    <col min="6" max="6" width="13.140625" customWidth="1"/>
    <col min="10" max="10" width="25.5703125" customWidth="1"/>
    <col min="11" max="11" width="19.140625" customWidth="1"/>
    <col min="12" max="12" width="21.5703125" customWidth="1"/>
  </cols>
  <sheetData>
    <row r="1" spans="1:12" x14ac:dyDescent="0.25">
      <c r="A1" s="1"/>
      <c r="B1" s="1" t="s">
        <v>0</v>
      </c>
      <c r="C1" s="1">
        <f>PI()/160</f>
        <v>1.9634954084936207E-2</v>
      </c>
      <c r="D1" s="1" t="s">
        <v>4</v>
      </c>
      <c r="F1" s="1" t="s">
        <v>5</v>
      </c>
      <c r="G1" s="1">
        <f>PI()/4</f>
        <v>0.78539816339744828</v>
      </c>
    </row>
    <row r="2" spans="1:12" ht="31.5" customHeight="1" x14ac:dyDescent="0.25">
      <c r="A2" s="2" t="s">
        <v>1</v>
      </c>
      <c r="B2" s="2"/>
      <c r="C2" s="2"/>
    </row>
    <row r="3" spans="1:12" ht="34.5" customHeight="1" x14ac:dyDescent="0.25">
      <c r="A3" s="1" t="s">
        <v>2</v>
      </c>
      <c r="B3" s="1" t="s">
        <v>3</v>
      </c>
      <c r="C3" s="1"/>
    </row>
    <row r="4" spans="1:12" x14ac:dyDescent="0.25">
      <c r="A4" s="1">
        <v>0</v>
      </c>
      <c r="B4" s="1">
        <f>COS(0.3*A4)*COS(0.7*A4)</f>
        <v>1</v>
      </c>
      <c r="C4" s="1"/>
      <c r="J4" s="1" t="s">
        <v>6</v>
      </c>
      <c r="K4" s="1" t="s">
        <v>7</v>
      </c>
      <c r="L4" s="1" t="s">
        <v>8</v>
      </c>
    </row>
    <row r="5" spans="1:12" x14ac:dyDescent="0.25">
      <c r="A5" s="1">
        <f>A4+$C$1</f>
        <v>1.9634954084936207E-2</v>
      </c>
      <c r="B5" s="1">
        <f t="shared" ref="B5:B44" si="0">COS(0.3*A5)*COS(0.7*A5)</f>
        <v>0.9998881990634273</v>
      </c>
      <c r="C5" s="1">
        <f>COS(0.3*(A4+A5)*0.5)*COS(0.7*(A4+A5)*0.5)</f>
        <v>0.99997204917039928</v>
      </c>
      <c r="J5" s="1">
        <f>C1*SUM(C5:C44)</f>
        <v>0.73983130583984313</v>
      </c>
      <c r="K5" s="1">
        <f>(C1/2)*(B4+2*SUM(B5:B43)+B44)</f>
        <v>0.73981128906245897</v>
      </c>
      <c r="L5" s="1">
        <f>(C1/6)*(B4+2*SUM(B5:B43)+4*SUM(C5:C44)+B44)</f>
        <v>0.73982463358071504</v>
      </c>
    </row>
    <row r="6" spans="1:12" x14ac:dyDescent="0.25">
      <c r="A6" s="1">
        <f t="shared" ref="A6:A49" si="1">A5+$C$1</f>
        <v>3.9269908169872414E-2</v>
      </c>
      <c r="B6" s="1">
        <f t="shared" si="0"/>
        <v>0.99955283436119169</v>
      </c>
      <c r="C6" s="1">
        <f t="shared" ref="C6:C44" si="2">COS(0.3*(A5+A6)*0.5)*COS(0.7*(A5+A6)*0.5)</f>
        <v>0.99974845682434921</v>
      </c>
    </row>
    <row r="7" spans="1:12" x14ac:dyDescent="0.25">
      <c r="A7" s="1">
        <f t="shared" si="1"/>
        <v>5.8904862254808621E-2</v>
      </c>
      <c r="B7" s="1">
        <f t="shared" si="0"/>
        <v>0.9989940202013583</v>
      </c>
      <c r="C7" s="1">
        <f t="shared" si="2"/>
        <v>0.99930134834361861</v>
      </c>
    </row>
    <row r="8" spans="1:12" x14ac:dyDescent="0.25">
      <c r="A8" s="1">
        <f t="shared" si="1"/>
        <v>7.8539816339744828E-2</v>
      </c>
      <c r="B8" s="1">
        <f t="shared" si="0"/>
        <v>0.99821194704942973</v>
      </c>
      <c r="C8" s="1">
        <f t="shared" si="2"/>
        <v>0.99863087612218127</v>
      </c>
    </row>
    <row r="9" spans="1:12" x14ac:dyDescent="0.25">
      <c r="A9" s="1">
        <f t="shared" si="1"/>
        <v>9.8174770424681035E-2</v>
      </c>
      <c r="B9" s="1">
        <f t="shared" si="0"/>
        <v>0.99720688145645986</v>
      </c>
      <c r="C9" s="1">
        <f t="shared" si="2"/>
        <v>0.99773726867909707</v>
      </c>
      <c r="J9" s="1" t="s">
        <v>9</v>
      </c>
      <c r="K9" s="1">
        <v>0.73982000000000003</v>
      </c>
    </row>
    <row r="10" spans="1:12" x14ac:dyDescent="0.25">
      <c r="A10" s="1">
        <f t="shared" si="1"/>
        <v>0.11780972450961724</v>
      </c>
      <c r="B10" s="1">
        <f t="shared" si="0"/>
        <v>0.99597916595844815</v>
      </c>
      <c r="C10" s="1">
        <f t="shared" si="2"/>
        <v>0.99662083057226158</v>
      </c>
    </row>
    <row r="11" spans="1:12" x14ac:dyDescent="0.25">
      <c r="A11" s="1">
        <f t="shared" si="1"/>
        <v>0.13744467859455345</v>
      </c>
      <c r="B11" s="1">
        <f t="shared" si="0"/>
        <v>0.99452921894705759</v>
      </c>
      <c r="C11" s="1">
        <f t="shared" si="2"/>
        <v>0.9952819422834569</v>
      </c>
    </row>
    <row r="12" spans="1:12" x14ac:dyDescent="0.25">
      <c r="A12" s="1">
        <f t="shared" si="1"/>
        <v>0.15707963267948966</v>
      </c>
      <c r="B12" s="1">
        <f t="shared" si="0"/>
        <v>0.99285753451170466</v>
      </c>
      <c r="C12" s="1">
        <f t="shared" si="2"/>
        <v>0.99372106007474847</v>
      </c>
    </row>
    <row r="13" spans="1:12" x14ac:dyDescent="0.25">
      <c r="A13" s="1">
        <f t="shared" si="1"/>
        <v>0.17671458676442586</v>
      </c>
      <c r="B13" s="1">
        <f t="shared" si="0"/>
        <v>0.99096468225308088</v>
      </c>
      <c r="C13" s="1">
        <f t="shared" si="2"/>
        <v>0.99193871581628301</v>
      </c>
    </row>
    <row r="14" spans="1:12" x14ac:dyDescent="0.25">
      <c r="A14" s="1">
        <f t="shared" si="1"/>
        <v>0.19634954084936207</v>
      </c>
      <c r="B14" s="1">
        <f t="shared" si="0"/>
        <v>0.98885130706817925</v>
      </c>
      <c r="C14" s="1">
        <f t="shared" si="2"/>
        <v>0.98993551678555225</v>
      </c>
    </row>
    <row r="15" spans="1:12" x14ac:dyDescent="0.25">
      <c r="A15" s="1">
        <f t="shared" si="1"/>
        <v>0.21598449493429828</v>
      </c>
      <c r="B15" s="1">
        <f t="shared" si="0"/>
        <v>0.98651812890690693</v>
      </c>
      <c r="C15" s="1">
        <f t="shared" si="2"/>
        <v>0.98771214543820207</v>
      </c>
    </row>
    <row r="16" spans="1:12" x14ac:dyDescent="0.25">
      <c r="A16" s="1">
        <f t="shared" si="1"/>
        <v>0.23561944901923448</v>
      </c>
      <c r="B16" s="1">
        <f t="shared" si="0"/>
        <v>0.98396594250037817</v>
      </c>
      <c r="C16" s="1">
        <f t="shared" si="2"/>
        <v>0.98526935915047265</v>
      </c>
    </row>
    <row r="17" spans="1:3" x14ac:dyDescent="0.25">
      <c r="A17" s="1">
        <f t="shared" si="1"/>
        <v>0.25525440310417069</v>
      </c>
      <c r="B17" s="1">
        <f t="shared" si="0"/>
        <v>0.98119561706099312</v>
      </c>
      <c r="C17" s="1">
        <f t="shared" si="2"/>
        <v>0.9826079899333704</v>
      </c>
    </row>
    <row r="18" spans="1:3" x14ac:dyDescent="0.25">
      <c r="A18" s="1">
        <f t="shared" si="1"/>
        <v>0.2748893571891069</v>
      </c>
      <c r="B18" s="1">
        <f t="shared" si="0"/>
        <v>0.9782080959544136</v>
      </c>
      <c r="C18" s="1">
        <f t="shared" si="2"/>
        <v>0.9797289441186805</v>
      </c>
    </row>
    <row r="19" spans="1:3" x14ac:dyDescent="0.25">
      <c r="A19" s="1">
        <f t="shared" si="1"/>
        <v>0.2945243112740431</v>
      </c>
      <c r="B19" s="1">
        <f t="shared" si="0"/>
        <v>0.9750043963435675</v>
      </c>
      <c r="C19" s="1">
        <f t="shared" si="2"/>
        <v>0.97663320201694093</v>
      </c>
    </row>
    <row r="20" spans="1:3" x14ac:dyDescent="0.25">
      <c r="A20" s="1">
        <f t="shared" si="1"/>
        <v>0.31415926535897931</v>
      </c>
      <c r="B20" s="1">
        <f t="shared" si="0"/>
        <v>0.9715856088048157</v>
      </c>
      <c r="C20" s="1">
        <f t="shared" si="2"/>
        <v>0.97332181754750913</v>
      </c>
    </row>
    <row r="21" spans="1:3" x14ac:dyDescent="0.25">
      <c r="A21" s="1">
        <f t="shared" si="1"/>
        <v>0.33379421944391552</v>
      </c>
      <c r="B21" s="1">
        <f t="shared" si="0"/>
        <v>0.96795289691642639</v>
      </c>
      <c r="C21" s="1">
        <f t="shared" si="2"/>
        <v>0.96979591784086483</v>
      </c>
    </row>
    <row r="22" spans="1:3" x14ac:dyDescent="0.25">
      <c r="A22" s="1">
        <f t="shared" si="1"/>
        <v>0.35342917352885173</v>
      </c>
      <c r="B22" s="1">
        <f t="shared" si="0"/>
        <v>0.96410749681952079</v>
      </c>
      <c r="C22" s="1">
        <f t="shared" si="2"/>
        <v>0.96605670281329903</v>
      </c>
    </row>
    <row r="23" spans="1:3" x14ac:dyDescent="0.25">
      <c r="A23" s="1">
        <f t="shared" si="1"/>
        <v>0.37306412761378793</v>
      </c>
      <c r="B23" s="1">
        <f t="shared" si="0"/>
        <v>0.9600507167516541</v>
      </c>
      <c r="C23" s="1">
        <f t="shared" si="2"/>
        <v>0.96210544471415538</v>
      </c>
    </row>
    <row r="24" spans="1:3" x14ac:dyDescent="0.25">
      <c r="A24" s="1">
        <f t="shared" si="1"/>
        <v>0.39269908169872414</v>
      </c>
      <c r="B24" s="1">
        <f t="shared" si="0"/>
        <v>0.95578393655321225</v>
      </c>
      <c r="C24" s="1">
        <f t="shared" si="2"/>
        <v>0.95794348764579662</v>
      </c>
    </row>
    <row r="25" spans="1:3" x14ac:dyDescent="0.25">
      <c r="A25" s="1">
        <f t="shared" si="1"/>
        <v>0.41233403578366035</v>
      </c>
      <c r="B25" s="1">
        <f t="shared" si="0"/>
        <v>0.95130860714681575</v>
      </c>
      <c r="C25" s="1">
        <f t="shared" si="2"/>
        <v>0.95357224705648025</v>
      </c>
    </row>
    <row r="26" spans="1:3" x14ac:dyDescent="0.25">
      <c r="A26" s="1">
        <f t="shared" si="1"/>
        <v>0.43196898986859655</v>
      </c>
      <c r="B26" s="1">
        <f t="shared" si="0"/>
        <v>0.94662624998992773</v>
      </c>
      <c r="C26" s="1">
        <f t="shared" si="2"/>
        <v>0.94899320920633823</v>
      </c>
    </row>
    <row r="27" spans="1:3" x14ac:dyDescent="0.25">
      <c r="A27" s="1">
        <f t="shared" si="1"/>
        <v>0.45160394395353276</v>
      </c>
      <c r="B27" s="1">
        <f t="shared" si="0"/>
        <v>0.94173845650087862</v>
      </c>
      <c r="C27" s="1">
        <f t="shared" si="2"/>
        <v>0.94420793060666752</v>
      </c>
    </row>
    <row r="28" spans="1:3" x14ac:dyDescent="0.25">
      <c r="A28" s="1">
        <f t="shared" si="1"/>
        <v>0.47123889803846897</v>
      </c>
      <c r="B28" s="1">
        <f t="shared" si="0"/>
        <v>0.9366468874585282</v>
      </c>
      <c r="C28" s="1">
        <f t="shared" si="2"/>
        <v>0.93921803743274435</v>
      </c>
    </row>
    <row r="29" spans="1:3" x14ac:dyDescent="0.25">
      <c r="A29" s="1">
        <f t="shared" si="1"/>
        <v>0.49087385212340517</v>
      </c>
      <c r="B29" s="1">
        <f t="shared" si="0"/>
        <v>0.9313532723757928</v>
      </c>
      <c r="C29" s="1">
        <f t="shared" si="2"/>
        <v>0.93402522491038953</v>
      </c>
    </row>
    <row r="30" spans="1:3" x14ac:dyDescent="0.25">
      <c r="A30" s="1">
        <f t="shared" si="1"/>
        <v>0.51050880620834138</v>
      </c>
      <c r="B30" s="1">
        <f t="shared" si="0"/>
        <v>0.92585940884728135</v>
      </c>
      <c r="C30" s="1">
        <f t="shared" si="2"/>
        <v>0.92863125667651991</v>
      </c>
    </row>
    <row r="31" spans="1:3" x14ac:dyDescent="0.25">
      <c r="A31" s="1">
        <f t="shared" si="1"/>
        <v>0.53014376029327759</v>
      </c>
      <c r="B31" s="1">
        <f t="shared" si="0"/>
        <v>0.92016716187129133</v>
      </c>
      <c r="C31" s="1">
        <f t="shared" si="2"/>
        <v>0.92303796411393202</v>
      </c>
    </row>
    <row r="32" spans="1:3" x14ac:dyDescent="0.25">
      <c r="A32" s="1">
        <f t="shared" si="1"/>
        <v>0.5497787143782138</v>
      </c>
      <c r="B32" s="1">
        <f t="shared" si="0"/>
        <v>0.91427846314641981</v>
      </c>
      <c r="C32" s="1">
        <f t="shared" si="2"/>
        <v>0.91724724566057236</v>
      </c>
    </row>
    <row r="33" spans="1:3" x14ac:dyDescent="0.25">
      <c r="A33" s="1">
        <f t="shared" si="1"/>
        <v>0.56941366846315</v>
      </c>
      <c r="B33" s="1">
        <f t="shared" si="0"/>
        <v>0.908195310343068</v>
      </c>
      <c r="C33" s="1">
        <f t="shared" si="2"/>
        <v>0.91126106609356061</v>
      </c>
    </row>
    <row r="34" spans="1:3" x14ac:dyDescent="0.25">
      <c r="A34" s="1">
        <f t="shared" si="1"/>
        <v>0.58904862254808621</v>
      </c>
      <c r="B34" s="1">
        <f t="shared" si="0"/>
        <v>0.90191976635011095</v>
      </c>
      <c r="C34" s="1">
        <f t="shared" si="2"/>
        <v>0.90508145578824217</v>
      </c>
    </row>
    <row r="35" spans="1:3" x14ac:dyDescent="0.25">
      <c r="A35" s="1">
        <f t="shared" si="1"/>
        <v>0.60868357663302242</v>
      </c>
      <c r="B35" s="1">
        <f t="shared" si="0"/>
        <v>0.89545395849702802</v>
      </c>
      <c r="C35" s="1">
        <f t="shared" si="2"/>
        <v>0.89871050995254997</v>
      </c>
    </row>
    <row r="36" spans="1:3" x14ac:dyDescent="0.25">
      <c r="A36" s="1">
        <f t="shared" si="1"/>
        <v>0.62831853071795862</v>
      </c>
      <c r="B36" s="1">
        <f t="shared" si="0"/>
        <v>0.88880007775178937</v>
      </c>
      <c r="C36" s="1">
        <f t="shared" si="2"/>
        <v>0.89215038783697642</v>
      </c>
    </row>
    <row r="37" spans="1:3" x14ac:dyDescent="0.25">
      <c r="A37" s="1">
        <f t="shared" si="1"/>
        <v>0.64795348480289483</v>
      </c>
      <c r="B37" s="1">
        <f t="shared" si="0"/>
        <v>0.88196037789480719</v>
      </c>
      <c r="C37" s="1">
        <f t="shared" si="2"/>
        <v>0.8854033119204523</v>
      </c>
    </row>
    <row r="38" spans="1:3" x14ac:dyDescent="0.25">
      <c r="A38" s="1">
        <f t="shared" si="1"/>
        <v>0.66758843888783104</v>
      </c>
      <c r="B38" s="1">
        <f t="shared" si="0"/>
        <v>0.87493717466927157</v>
      </c>
      <c r="C38" s="1">
        <f t="shared" si="2"/>
        <v>0.87847156707245044</v>
      </c>
    </row>
    <row r="39" spans="1:3" x14ac:dyDescent="0.25">
      <c r="A39" s="1">
        <f t="shared" si="1"/>
        <v>0.68722339297276724</v>
      </c>
      <c r="B39" s="1">
        <f t="shared" si="0"/>
        <v>0.86773284490819214</v>
      </c>
      <c r="C39" s="1">
        <f t="shared" si="2"/>
        <v>0.87135749969163268</v>
      </c>
    </row>
    <row r="40" spans="1:3" x14ac:dyDescent="0.25">
      <c r="A40" s="1">
        <f t="shared" si="1"/>
        <v>0.70685834705770345</v>
      </c>
      <c r="B40" s="1">
        <f t="shared" si="0"/>
        <v>0.86034982563848705</v>
      </c>
      <c r="C40" s="1">
        <f t="shared" si="2"/>
        <v>0.86406351682137383</v>
      </c>
    </row>
    <row r="41" spans="1:3" x14ac:dyDescent="0.25">
      <c r="A41" s="1">
        <f t="shared" si="1"/>
        <v>0.72649330114263966</v>
      </c>
      <c r="B41" s="1">
        <f t="shared" si="0"/>
        <v>0.85279061316245786</v>
      </c>
      <c r="C41" s="1">
        <f t="shared" si="2"/>
        <v>0.85659208524249841</v>
      </c>
    </row>
    <row r="42" spans="1:3" x14ac:dyDescent="0.25">
      <c r="A42" s="1">
        <f t="shared" si="1"/>
        <v>0.74612825522757587</v>
      </c>
      <c r="B42" s="1">
        <f t="shared" si="0"/>
        <v>0.84505776211700789</v>
      </c>
      <c r="C42" s="1">
        <f t="shared" si="2"/>
        <v>0.84894573054358402</v>
      </c>
    </row>
    <row r="43" spans="1:3" x14ac:dyDescent="0.25">
      <c r="A43" s="1">
        <f t="shared" si="1"/>
        <v>0.76576320931251207</v>
      </c>
      <c r="B43" s="1">
        <f t="shared" si="0"/>
        <v>0.83715388451096007</v>
      </c>
      <c r="C43" s="1">
        <f t="shared" si="2"/>
        <v>0.84112703616918294</v>
      </c>
    </row>
    <row r="44" spans="1:3" x14ac:dyDescent="0.25">
      <c r="A44" s="1">
        <f t="shared" si="1"/>
        <v>0.78539816339744828</v>
      </c>
      <c r="B44" s="1">
        <f t="shared" si="0"/>
        <v>0.82908164874085044</v>
      </c>
      <c r="C44" s="1">
        <f t="shared" si="2"/>
        <v>0.83313864244633196</v>
      </c>
    </row>
  </sheetData>
  <mergeCells count="1"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Косован</dc:creator>
  <cp:lastModifiedBy>Михаил Косован</cp:lastModifiedBy>
  <dcterms:created xsi:type="dcterms:W3CDTF">2020-11-06T04:17:28Z</dcterms:created>
  <dcterms:modified xsi:type="dcterms:W3CDTF">2020-11-06T04:52:49Z</dcterms:modified>
</cp:coreProperties>
</file>