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GUU\4course1\ЧМ\"/>
    </mc:Choice>
  </mc:AlternateContent>
  <xr:revisionPtr revIDLastSave="0" documentId="13_ncr:1_{4BE01AC7-54A9-488D-846E-7A80C127DD12}" xr6:coauthVersionLast="45" xr6:coauthVersionMax="45" xr10:uidLastSave="{00000000-0000-0000-0000-000000000000}"/>
  <bookViews>
    <workbookView xWindow="-120" yWindow="-120" windowWidth="29040" windowHeight="15840" activeTab="2" xr2:uid="{FFB35C42-9F2C-4E3A-A991-8453D9D4C383}"/>
  </bookViews>
  <sheets>
    <sheet name="Метод простых итераций" sheetId="1" r:id="rId1"/>
    <sheet name="Метод Ньютона" sheetId="2" r:id="rId2"/>
    <sheet name="Метод половинного делени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1" i="3" l="1"/>
  <c r="R31" i="3" s="1"/>
  <c r="P31" i="3"/>
  <c r="O32" i="3" s="1"/>
  <c r="H31" i="3"/>
  <c r="F32" i="3" s="1"/>
  <c r="I31" i="3"/>
  <c r="J31" i="3" s="1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M31" i="2"/>
  <c r="M32" i="2" s="1"/>
  <c r="F31" i="2"/>
  <c r="G31" i="2" s="1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L41" i="1"/>
  <c r="M41" i="1" s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B40" i="1"/>
  <c r="B41" i="1" s="1"/>
  <c r="B42" i="1" s="1"/>
  <c r="B43" i="1" s="1"/>
  <c r="C43" i="1" s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0" i="1"/>
  <c r="N32" i="3" l="1"/>
  <c r="G32" i="3"/>
  <c r="N31" i="2"/>
  <c r="N32" i="2"/>
  <c r="M33" i="2"/>
  <c r="F32" i="2"/>
  <c r="L42" i="1"/>
  <c r="B44" i="1"/>
  <c r="C40" i="1"/>
  <c r="C42" i="1"/>
  <c r="C41" i="1"/>
  <c r="Q32" i="3" l="1"/>
  <c r="R32" i="3" s="1"/>
  <c r="P32" i="3"/>
  <c r="O33" i="3" s="1"/>
  <c r="H32" i="3"/>
  <c r="F33" i="3" s="1"/>
  <c r="I32" i="3"/>
  <c r="J32" i="3" s="1"/>
  <c r="M34" i="2"/>
  <c r="N33" i="2"/>
  <c r="F33" i="2"/>
  <c r="G32" i="2"/>
  <c r="L43" i="1"/>
  <c r="M43" i="1" s="1"/>
  <c r="M42" i="1"/>
  <c r="C44" i="1"/>
  <c r="B45" i="1"/>
  <c r="N33" i="3" l="1"/>
  <c r="G33" i="3"/>
  <c r="M35" i="2"/>
  <c r="N34" i="2"/>
  <c r="F34" i="2"/>
  <c r="G33" i="2"/>
  <c r="L44" i="1"/>
  <c r="L45" i="1" s="1"/>
  <c r="C45" i="1"/>
  <c r="B46" i="1"/>
  <c r="P33" i="3" l="1"/>
  <c r="O34" i="3" s="1"/>
  <c r="Q33" i="3"/>
  <c r="R33" i="3" s="1"/>
  <c r="N34" i="3"/>
  <c r="I33" i="3"/>
  <c r="J33" i="3" s="1"/>
  <c r="H33" i="3"/>
  <c r="F34" i="3" s="1"/>
  <c r="M36" i="2"/>
  <c r="N35" i="2"/>
  <c r="F35" i="2"/>
  <c r="G34" i="2"/>
  <c r="M44" i="1"/>
  <c r="M45" i="1"/>
  <c r="L46" i="1"/>
  <c r="L47" i="1" s="1"/>
  <c r="C46" i="1"/>
  <c r="B47" i="1"/>
  <c r="P34" i="3" l="1"/>
  <c r="N35" i="3" s="1"/>
  <c r="Q34" i="3"/>
  <c r="R34" i="3" s="1"/>
  <c r="O35" i="3"/>
  <c r="G34" i="3"/>
  <c r="H34" i="3" s="1"/>
  <c r="F35" i="3" s="1"/>
  <c r="M37" i="2"/>
  <c r="N36" i="2"/>
  <c r="F36" i="2"/>
  <c r="G35" i="2"/>
  <c r="M46" i="1"/>
  <c r="M47" i="1"/>
  <c r="L48" i="1"/>
  <c r="L49" i="1" s="1"/>
  <c r="C47" i="1"/>
  <c r="B48" i="1"/>
  <c r="P35" i="3" l="1"/>
  <c r="Q35" i="3"/>
  <c r="R35" i="3" s="1"/>
  <c r="N36" i="3"/>
  <c r="O36" i="3"/>
  <c r="G35" i="3"/>
  <c r="I35" i="3" s="1"/>
  <c r="J35" i="3" s="1"/>
  <c r="I34" i="3"/>
  <c r="J34" i="3" s="1"/>
  <c r="N37" i="2"/>
  <c r="M38" i="2"/>
  <c r="N38" i="2" s="1"/>
  <c r="F37" i="2"/>
  <c r="G36" i="2"/>
  <c r="M48" i="1"/>
  <c r="M49" i="1"/>
  <c r="L50" i="1"/>
  <c r="L51" i="1" s="1"/>
  <c r="B49" i="1"/>
  <c r="C48" i="1"/>
  <c r="P36" i="3" l="1"/>
  <c r="O37" i="3" s="1"/>
  <c r="N37" i="3"/>
  <c r="Q36" i="3"/>
  <c r="R36" i="3" s="1"/>
  <c r="H35" i="3"/>
  <c r="F36" i="3" s="1"/>
  <c r="F38" i="2"/>
  <c r="G37" i="2"/>
  <c r="M50" i="1"/>
  <c r="M51" i="1"/>
  <c r="L52" i="1"/>
  <c r="L53" i="1" s="1"/>
  <c r="C49" i="1"/>
  <c r="B50" i="1"/>
  <c r="P37" i="3" l="1"/>
  <c r="O38" i="3" s="1"/>
  <c r="Q37" i="3"/>
  <c r="R37" i="3" s="1"/>
  <c r="G36" i="3"/>
  <c r="H36" i="3" s="1"/>
  <c r="F37" i="3" s="1"/>
  <c r="F39" i="2"/>
  <c r="G38" i="2"/>
  <c r="M52" i="1"/>
  <c r="M53" i="1"/>
  <c r="L54" i="1"/>
  <c r="L55" i="1" s="1"/>
  <c r="C50" i="1"/>
  <c r="B51" i="1"/>
  <c r="N38" i="3" l="1"/>
  <c r="G37" i="3"/>
  <c r="I36" i="3"/>
  <c r="J36" i="3" s="1"/>
  <c r="F40" i="2"/>
  <c r="F41" i="2" s="1"/>
  <c r="F42" i="2" s="1"/>
  <c r="F43" i="2" s="1"/>
  <c r="G39" i="2"/>
  <c r="M54" i="1"/>
  <c r="M55" i="1"/>
  <c r="L56" i="1"/>
  <c r="L57" i="1" s="1"/>
  <c r="C51" i="1"/>
  <c r="B52" i="1"/>
  <c r="P38" i="3" l="1"/>
  <c r="O39" i="3" s="1"/>
  <c r="Q38" i="3"/>
  <c r="R38" i="3" s="1"/>
  <c r="N39" i="3"/>
  <c r="I37" i="3"/>
  <c r="J37" i="3" s="1"/>
  <c r="H37" i="3"/>
  <c r="F38" i="3" s="1"/>
  <c r="M56" i="1"/>
  <c r="M57" i="1"/>
  <c r="L58" i="1"/>
  <c r="L59" i="1" s="1"/>
  <c r="C52" i="1"/>
  <c r="P39" i="3" l="1"/>
  <c r="Q39" i="3"/>
  <c r="R39" i="3" s="1"/>
  <c r="N40" i="3"/>
  <c r="O40" i="3"/>
  <c r="G38" i="3"/>
  <c r="M58" i="1"/>
  <c r="M59" i="1"/>
  <c r="L60" i="1"/>
  <c r="L61" i="1" s="1"/>
  <c r="P40" i="3" l="1"/>
  <c r="O41" i="3" s="1"/>
  <c r="Q40" i="3"/>
  <c r="R40" i="3" s="1"/>
  <c r="N41" i="3"/>
  <c r="H38" i="3"/>
  <c r="F39" i="3" s="1"/>
  <c r="I38" i="3"/>
  <c r="J38" i="3" s="1"/>
  <c r="M60" i="1"/>
  <c r="M61" i="1"/>
  <c r="L62" i="1"/>
  <c r="L63" i="1" s="1"/>
  <c r="P41" i="3" l="1"/>
  <c r="O42" i="3" s="1"/>
  <c r="Q41" i="3"/>
  <c r="R41" i="3" s="1"/>
  <c r="G39" i="3"/>
  <c r="M62" i="1"/>
  <c r="M63" i="1"/>
  <c r="L64" i="1"/>
  <c r="M64" i="1" s="1"/>
  <c r="N42" i="3" l="1"/>
  <c r="I39" i="3"/>
  <c r="J39" i="3" s="1"/>
  <c r="H39" i="3"/>
  <c r="F40" i="3" s="1"/>
  <c r="Q42" i="3" l="1"/>
  <c r="R42" i="3" s="1"/>
  <c r="P42" i="3"/>
  <c r="O43" i="3" s="1"/>
  <c r="G40" i="3"/>
  <c r="N43" i="3" l="1"/>
  <c r="H40" i="3"/>
  <c r="F41" i="3" s="1"/>
  <c r="G41" i="3"/>
  <c r="I40" i="3"/>
  <c r="J40" i="3" s="1"/>
  <c r="P43" i="3" l="1"/>
  <c r="O44" i="3" s="1"/>
  <c r="Q43" i="3"/>
  <c r="R43" i="3" s="1"/>
  <c r="N44" i="3"/>
  <c r="H41" i="3"/>
  <c r="G42" i="3" s="1"/>
  <c r="I41" i="3"/>
  <c r="J41" i="3" s="1"/>
  <c r="P44" i="3" l="1"/>
  <c r="N45" i="3" s="1"/>
  <c r="Q44" i="3"/>
  <c r="R44" i="3" s="1"/>
  <c r="F42" i="3"/>
  <c r="O45" i="3" l="1"/>
  <c r="H42" i="3"/>
  <c r="G43" i="3" s="1"/>
  <c r="I42" i="3"/>
  <c r="J42" i="3" s="1"/>
  <c r="Q45" i="3" l="1"/>
  <c r="R45" i="3" s="1"/>
  <c r="P45" i="3"/>
  <c r="N46" i="3" s="1"/>
  <c r="F43" i="3"/>
  <c r="O46" i="3" l="1"/>
  <c r="H43" i="3"/>
  <c r="G44" i="3" s="1"/>
  <c r="I43" i="3"/>
  <c r="J43" i="3" s="1"/>
  <c r="F44" i="3"/>
  <c r="Q46" i="3" l="1"/>
  <c r="R46" i="3" s="1"/>
  <c r="P46" i="3"/>
  <c r="N47" i="3" s="1"/>
  <c r="H44" i="3"/>
  <c r="I44" i="3"/>
  <c r="J44" i="3" s="1"/>
  <c r="F45" i="3"/>
  <c r="G45" i="3"/>
  <c r="O47" i="3" l="1"/>
  <c r="H45" i="3"/>
  <c r="G46" i="3" s="1"/>
  <c r="I45" i="3"/>
  <c r="J45" i="3" s="1"/>
  <c r="Q47" i="3" l="1"/>
  <c r="R47" i="3" s="1"/>
  <c r="P47" i="3"/>
  <c r="N48" i="3" s="1"/>
  <c r="F46" i="3"/>
  <c r="O48" i="3" l="1"/>
  <c r="H46" i="3"/>
  <c r="I46" i="3"/>
  <c r="J46" i="3" s="1"/>
  <c r="Q48" i="3" l="1"/>
  <c r="R48" i="3" s="1"/>
  <c r="P48" i="3"/>
  <c r="N49" i="3" s="1"/>
  <c r="O49" i="3" l="1"/>
  <c r="Q49" i="3" l="1"/>
  <c r="R49" i="3" s="1"/>
  <c r="P49" i="3"/>
  <c r="N50" i="3" s="1"/>
  <c r="O50" i="3" l="1"/>
  <c r="Q50" i="3" l="1"/>
  <c r="R50" i="3" s="1"/>
  <c r="P50" i="3"/>
  <c r="N51" i="3" s="1"/>
  <c r="O51" i="3" l="1"/>
  <c r="Q51" i="3" l="1"/>
  <c r="R51" i="3" s="1"/>
  <c r="P51" i="3"/>
  <c r="N52" i="3" s="1"/>
  <c r="O52" i="3" l="1"/>
  <c r="P52" i="3" s="1"/>
  <c r="Q52" i="3" l="1"/>
  <c r="R52" i="3" s="1"/>
</calcChain>
</file>

<file path=xl/sharedStrings.xml><?xml version="1.0" encoding="utf-8"?>
<sst xmlns="http://schemas.openxmlformats.org/spreadsheetml/2006/main" count="64" uniqueCount="26">
  <si>
    <t>Уравнение</t>
  </si>
  <si>
    <t>Погрешность</t>
  </si>
  <si>
    <t>x*lg(x+1)=1</t>
  </si>
  <si>
    <t>10^(-3)</t>
  </si>
  <si>
    <t>x</t>
  </si>
  <si>
    <t>y=x*lg(x+1)-1</t>
  </si>
  <si>
    <t>ОДЗ</t>
  </si>
  <si>
    <t>(-1;+inf)</t>
  </si>
  <si>
    <t>Метод простых итераций</t>
  </si>
  <si>
    <t>y=lg(x+1)+x/((x+1)ln10)</t>
  </si>
  <si>
    <t>Условие</t>
  </si>
  <si>
    <t>Метод для (-1;0]</t>
  </si>
  <si>
    <t>Шаг</t>
  </si>
  <si>
    <t>x_n</t>
  </si>
  <si>
    <t>Остановка</t>
  </si>
  <si>
    <t>epsilon</t>
  </si>
  <si>
    <t>Метод для [0;10]</t>
  </si>
  <si>
    <t>Метод Ньютона на (-1;0]</t>
  </si>
  <si>
    <t>окончание</t>
  </si>
  <si>
    <t>Метод Ньютона на [0;10]</t>
  </si>
  <si>
    <t>Метод половинного деления для (-1;0]</t>
  </si>
  <si>
    <t>a_n</t>
  </si>
  <si>
    <t>b_n</t>
  </si>
  <si>
    <t>Длина отрезка</t>
  </si>
  <si>
    <t>Окончание</t>
  </si>
  <si>
    <t>Метод половинного деления для [0;10]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</si>
</sst>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00"/>
    <numFmt numFmtId="173" formatCode="0.000"/>
  </numFmts>
  <fonts count="8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" xfId="0" applyBorder="1"/>
    <xf numFmtId="170" fontId="0" fillId="0" borderId="0" xfId="0" applyNumberFormat="1"/>
    <xf numFmtId="173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/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'Метод простых итераций'!$X$4</c:f>
              <c:strCache>
                <c:ptCount val="1"/>
                <c:pt idx="0">
                  <c:v>y=lg(x+1)+x/((x+1)ln10)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простых итераций'!$W$5:$W$18</c:f>
              <c:numCache>
                <c:formatCode>General</c:formatCode>
                <c:ptCount val="14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90</c:v>
                </c:pt>
                <c:pt idx="5">
                  <c:v>110</c:v>
                </c:pt>
                <c:pt idx="6">
                  <c:v>130</c:v>
                </c:pt>
                <c:pt idx="7">
                  <c:v>150</c:v>
                </c:pt>
                <c:pt idx="8">
                  <c:v>170</c:v>
                </c:pt>
                <c:pt idx="9">
                  <c:v>190</c:v>
                </c:pt>
                <c:pt idx="10">
                  <c:v>210</c:v>
                </c:pt>
                <c:pt idx="11">
                  <c:v>230</c:v>
                </c:pt>
                <c:pt idx="12">
                  <c:v>250</c:v>
                </c:pt>
                <c:pt idx="13">
                  <c:v>270</c:v>
                </c:pt>
              </c:numCache>
            </c:numRef>
          </c:cat>
          <c:val>
            <c:numRef>
              <c:f>'Метод простых итераций'!$X$5:$X$18</c:f>
              <c:numCache>
                <c:formatCode>General</c:formatCode>
                <c:ptCount val="14"/>
                <c:pt idx="0">
                  <c:v>1.4362058505248176</c:v>
                </c:pt>
                <c:pt idx="1">
                  <c:v>1.9116466763212905</c:v>
                </c:pt>
                <c:pt idx="2">
                  <c:v>2.1333490799246535</c:v>
                </c:pt>
                <c:pt idx="3">
                  <c:v>2.2794360069335489</c:v>
                </c:pt>
                <c:pt idx="4">
                  <c:v>2.3885634073902438</c:v>
                </c:pt>
                <c:pt idx="5">
                  <c:v>2.4757048977898801</c:v>
                </c:pt>
                <c:pt idx="6">
                  <c:v>2.5482505525063197</c:v>
                </c:pt>
                <c:pt idx="7">
                  <c:v>2.6103953067997105</c:v>
                </c:pt>
                <c:pt idx="8">
                  <c:v>2.6647508584831057</c:v>
                </c:pt>
                <c:pt idx="9">
                  <c:v>2.7130540560520093</c:v>
                </c:pt>
                <c:pt idx="10">
                  <c:v>2.756518669514199</c:v>
                </c:pt>
                <c:pt idx="11">
                  <c:v>2.7960263991031744</c:v>
                </c:pt>
                <c:pt idx="12">
                  <c:v>2.8322379464842768</c:v>
                </c:pt>
                <c:pt idx="13">
                  <c:v>2.8656612101138079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4-4138-A6B6-656FF0E5E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36976"/>
        <c:axId val="341706416"/>
      </c:lineChart>
      <c:catAx>
        <c:axId val="5913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706416"/>
        <c:crosses val="autoZero"/>
        <c:auto val="1"/>
        <c:lblAlgn val="ctr"/>
        <c:lblOffset val="100"/>
        <c:noMultiLvlLbl val="0"/>
      </c:catAx>
      <c:valAx>
        <c:axId val="34170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13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'Метод простых итераций'!$C$9</c:f>
              <c:strCache>
                <c:ptCount val="1"/>
                <c:pt idx="0">
                  <c:v>y=x*lg(x+1)-1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простых итераций'!$B$10:$B$33</c:f>
              <c:numCache>
                <c:formatCode>0.000</c:formatCode>
                <c:ptCount val="24"/>
                <c:pt idx="0">
                  <c:v>-0.99999000000000005</c:v>
                </c:pt>
                <c:pt idx="1">
                  <c:v>-0.5</c:v>
                </c:pt>
                <c:pt idx="2">
                  <c:v>-1.00000000000655E-5</c:v>
                </c:pt>
                <c:pt idx="3">
                  <c:v>0.49997999999999998</c:v>
                </c:pt>
                <c:pt idx="4">
                  <c:v>0.99997000000000003</c:v>
                </c:pt>
                <c:pt idx="5">
                  <c:v>1.49996</c:v>
                </c:pt>
                <c:pt idx="6">
                  <c:v>1.9999499999999999</c:v>
                </c:pt>
                <c:pt idx="7">
                  <c:v>2.4999400000000001</c:v>
                </c:pt>
                <c:pt idx="8">
                  <c:v>2.99993</c:v>
                </c:pt>
                <c:pt idx="9">
                  <c:v>3.4999199999999999</c:v>
                </c:pt>
                <c:pt idx="10">
                  <c:v>3.9999099999999999</c:v>
                </c:pt>
                <c:pt idx="11">
                  <c:v>4.4999000000000002</c:v>
                </c:pt>
                <c:pt idx="12">
                  <c:v>4.9998899999999997</c:v>
                </c:pt>
                <c:pt idx="13">
                  <c:v>5.4998800000000001</c:v>
                </c:pt>
                <c:pt idx="14">
                  <c:v>5.9998699999999996</c:v>
                </c:pt>
                <c:pt idx="15">
                  <c:v>6.49986</c:v>
                </c:pt>
                <c:pt idx="16">
                  <c:v>6.9998500000000003</c:v>
                </c:pt>
                <c:pt idx="17">
                  <c:v>7.4998399999999998</c:v>
                </c:pt>
                <c:pt idx="18">
                  <c:v>7.9998300000000002</c:v>
                </c:pt>
                <c:pt idx="19">
                  <c:v>8.4998199999999997</c:v>
                </c:pt>
                <c:pt idx="20">
                  <c:v>8.9998100000000001</c:v>
                </c:pt>
                <c:pt idx="21">
                  <c:v>9.4998000000000005</c:v>
                </c:pt>
                <c:pt idx="22">
                  <c:v>9.9997900000000008</c:v>
                </c:pt>
                <c:pt idx="23">
                  <c:v>10.499779999999999</c:v>
                </c:pt>
              </c:numCache>
            </c:numRef>
          </c:cat>
          <c:val>
            <c:numRef>
              <c:f>'Метод простых итераций'!$C$10:$C$33</c:f>
              <c:numCache>
                <c:formatCode>General</c:formatCode>
                <c:ptCount val="24"/>
                <c:pt idx="0">
                  <c:v>3.9999500000019763</c:v>
                </c:pt>
                <c:pt idx="1">
                  <c:v>-0.84948500216800937</c:v>
                </c:pt>
                <c:pt idx="2">
                  <c:v>-0.9999999999565703</c:v>
                </c:pt>
                <c:pt idx="3">
                  <c:v>-0.91196078749737608</c:v>
                </c:pt>
                <c:pt idx="4">
                  <c:v>-0.6989855495065419</c:v>
                </c:pt>
                <c:pt idx="5">
                  <c:v>-0.40311632746529102</c:v>
                </c:pt>
                <c:pt idx="6">
                  <c:v>-4.5795822864864832E-2</c:v>
                </c:pt>
                <c:pt idx="7">
                  <c:v>0.36011885445954328</c:v>
                </c:pt>
                <c:pt idx="8">
                  <c:v>0.80611502965670345</c:v>
                </c:pt>
                <c:pt idx="9">
                  <c:v>1.286164518822301</c:v>
                </c:pt>
                <c:pt idx="10">
                  <c:v>1.7957858412631249</c:v>
                </c:pt>
                <c:pt idx="11">
                  <c:v>2.3315225337368655</c:v>
                </c:pt>
                <c:pt idx="12">
                  <c:v>2.8906308454640706</c:v>
                </c:pt>
                <c:pt idx="13">
                  <c:v>3.4708818148944394</c:v>
                </c:pt>
                <c:pt idx="14">
                  <c:v>4.0704299851257941</c:v>
                </c:pt>
                <c:pt idx="15">
                  <c:v>4.6877230097151843</c:v>
                </c:pt>
                <c:pt idx="16">
                  <c:v>5.3214374449818784</c:v>
                </c:pt>
                <c:pt idx="17">
                  <c:v>5.9704319243978725</c:v>
                </c:pt>
                <c:pt idx="18">
                  <c:v>6.6337122283410501</c:v>
                </c:pt>
                <c:pt idx="19">
                  <c:v>7.310404711255611</c:v>
                </c:pt>
                <c:pt idx="20">
                  <c:v>7.9997357365058921</c:v>
                </c:pt>
                <c:pt idx="21">
                  <c:v>8.7010155175900792</c:v>
                </c:pt>
                <c:pt idx="22">
                  <c:v>9.4136252493033528</c:v>
                </c:pt>
                <c:pt idx="23">
                  <c:v>10.137006734637673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B-4AF5-9FED-7F240F803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903344"/>
        <c:axId val="253532320"/>
      </c:lineChart>
      <c:catAx>
        <c:axId val="33890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X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532320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253532320"/>
        <c:scaling>
          <c:orientation val="minMax"/>
          <c:max val="10"/>
          <c:min val="-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/>
                  <a:t> </a:t>
                </a:r>
                <a:r>
                  <a:rPr lang="en-US" sz="1600"/>
                  <a:t>f(x)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903344"/>
        <c:crosses val="autoZero"/>
        <c:crossBetween val="midCat"/>
        <c:majorUnit val="5"/>
        <c:dispUnits>
          <c:custUnit val="1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'Метод простых итераций'!$C$9</c:f>
              <c:strCache>
                <c:ptCount val="1"/>
                <c:pt idx="0">
                  <c:v>y=x*lg(x+1)-1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простых итераций'!$B$10:$B$33</c:f>
              <c:numCache>
                <c:formatCode>0.000</c:formatCode>
                <c:ptCount val="24"/>
                <c:pt idx="0">
                  <c:v>-0.99999000000000005</c:v>
                </c:pt>
                <c:pt idx="1">
                  <c:v>-0.5</c:v>
                </c:pt>
                <c:pt idx="2">
                  <c:v>-1.00000000000655E-5</c:v>
                </c:pt>
                <c:pt idx="3">
                  <c:v>0.49997999999999998</c:v>
                </c:pt>
                <c:pt idx="4">
                  <c:v>0.99997000000000003</c:v>
                </c:pt>
                <c:pt idx="5">
                  <c:v>1.49996</c:v>
                </c:pt>
                <c:pt idx="6">
                  <c:v>1.9999499999999999</c:v>
                </c:pt>
                <c:pt idx="7">
                  <c:v>2.4999400000000001</c:v>
                </c:pt>
                <c:pt idx="8">
                  <c:v>2.99993</c:v>
                </c:pt>
                <c:pt idx="9">
                  <c:v>3.4999199999999999</c:v>
                </c:pt>
                <c:pt idx="10">
                  <c:v>3.9999099999999999</c:v>
                </c:pt>
                <c:pt idx="11">
                  <c:v>4.4999000000000002</c:v>
                </c:pt>
                <c:pt idx="12">
                  <c:v>4.9998899999999997</c:v>
                </c:pt>
                <c:pt idx="13">
                  <c:v>5.4998800000000001</c:v>
                </c:pt>
                <c:pt idx="14">
                  <c:v>5.9998699999999996</c:v>
                </c:pt>
                <c:pt idx="15">
                  <c:v>6.49986</c:v>
                </c:pt>
                <c:pt idx="16">
                  <c:v>6.9998500000000003</c:v>
                </c:pt>
                <c:pt idx="17">
                  <c:v>7.4998399999999998</c:v>
                </c:pt>
                <c:pt idx="18">
                  <c:v>7.9998300000000002</c:v>
                </c:pt>
                <c:pt idx="19">
                  <c:v>8.4998199999999997</c:v>
                </c:pt>
                <c:pt idx="20">
                  <c:v>8.9998100000000001</c:v>
                </c:pt>
                <c:pt idx="21">
                  <c:v>9.4998000000000005</c:v>
                </c:pt>
                <c:pt idx="22">
                  <c:v>9.9997900000000008</c:v>
                </c:pt>
                <c:pt idx="23">
                  <c:v>10.499779999999999</c:v>
                </c:pt>
              </c:numCache>
            </c:numRef>
          </c:cat>
          <c:val>
            <c:numRef>
              <c:f>'Метод простых итераций'!$C$10:$C$33</c:f>
              <c:numCache>
                <c:formatCode>General</c:formatCode>
                <c:ptCount val="24"/>
                <c:pt idx="0">
                  <c:v>3.9999500000019763</c:v>
                </c:pt>
                <c:pt idx="1">
                  <c:v>-0.84948500216800937</c:v>
                </c:pt>
                <c:pt idx="2">
                  <c:v>-0.9999999999565703</c:v>
                </c:pt>
                <c:pt idx="3">
                  <c:v>-0.91196078749737608</c:v>
                </c:pt>
                <c:pt idx="4">
                  <c:v>-0.6989855495065419</c:v>
                </c:pt>
                <c:pt idx="5">
                  <c:v>-0.40311632746529102</c:v>
                </c:pt>
                <c:pt idx="6">
                  <c:v>-4.5795822864864832E-2</c:v>
                </c:pt>
                <c:pt idx="7">
                  <c:v>0.36011885445954328</c:v>
                </c:pt>
                <c:pt idx="8">
                  <c:v>0.80611502965670345</c:v>
                </c:pt>
                <c:pt idx="9">
                  <c:v>1.286164518822301</c:v>
                </c:pt>
                <c:pt idx="10">
                  <c:v>1.7957858412631249</c:v>
                </c:pt>
                <c:pt idx="11">
                  <c:v>2.3315225337368655</c:v>
                </c:pt>
                <c:pt idx="12">
                  <c:v>2.8906308454640706</c:v>
                </c:pt>
                <c:pt idx="13">
                  <c:v>3.4708818148944394</c:v>
                </c:pt>
                <c:pt idx="14">
                  <c:v>4.0704299851257941</c:v>
                </c:pt>
                <c:pt idx="15">
                  <c:v>4.6877230097151843</c:v>
                </c:pt>
                <c:pt idx="16">
                  <c:v>5.3214374449818784</c:v>
                </c:pt>
                <c:pt idx="17">
                  <c:v>5.9704319243978725</c:v>
                </c:pt>
                <c:pt idx="18">
                  <c:v>6.6337122283410501</c:v>
                </c:pt>
                <c:pt idx="19">
                  <c:v>7.310404711255611</c:v>
                </c:pt>
                <c:pt idx="20">
                  <c:v>7.9997357365058921</c:v>
                </c:pt>
                <c:pt idx="21">
                  <c:v>8.7010155175900792</c:v>
                </c:pt>
                <c:pt idx="22">
                  <c:v>9.4136252493033528</c:v>
                </c:pt>
                <c:pt idx="23">
                  <c:v>10.137006734637673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C-457F-9F0E-D3768047B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903344"/>
        <c:axId val="253532320"/>
      </c:lineChart>
      <c:catAx>
        <c:axId val="33890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X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532320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253532320"/>
        <c:scaling>
          <c:orientation val="minMax"/>
          <c:max val="10"/>
          <c:min val="-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/>
                  <a:t> </a:t>
                </a:r>
                <a:r>
                  <a:rPr lang="en-US" sz="1600"/>
                  <a:t>f(x)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903344"/>
        <c:crosses val="autoZero"/>
        <c:crossBetween val="midCat"/>
        <c:majorUnit val="5"/>
        <c:dispUnits>
          <c:custUnit val="1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'Метод простых итераций'!$C$9</c:f>
              <c:strCache>
                <c:ptCount val="1"/>
                <c:pt idx="0">
                  <c:v>y=x*lg(x+1)-1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'Метод простых итераций'!$B$10:$B$33</c:f>
              <c:numCache>
                <c:formatCode>0.000</c:formatCode>
                <c:ptCount val="24"/>
                <c:pt idx="0">
                  <c:v>-0.99999000000000005</c:v>
                </c:pt>
                <c:pt idx="1">
                  <c:v>-0.5</c:v>
                </c:pt>
                <c:pt idx="2">
                  <c:v>-1.00000000000655E-5</c:v>
                </c:pt>
                <c:pt idx="3">
                  <c:v>0.49997999999999998</c:v>
                </c:pt>
                <c:pt idx="4">
                  <c:v>0.99997000000000003</c:v>
                </c:pt>
                <c:pt idx="5">
                  <c:v>1.49996</c:v>
                </c:pt>
                <c:pt idx="6">
                  <c:v>1.9999499999999999</c:v>
                </c:pt>
                <c:pt idx="7">
                  <c:v>2.4999400000000001</c:v>
                </c:pt>
                <c:pt idx="8">
                  <c:v>2.99993</c:v>
                </c:pt>
                <c:pt idx="9">
                  <c:v>3.4999199999999999</c:v>
                </c:pt>
                <c:pt idx="10">
                  <c:v>3.9999099999999999</c:v>
                </c:pt>
                <c:pt idx="11">
                  <c:v>4.4999000000000002</c:v>
                </c:pt>
                <c:pt idx="12">
                  <c:v>4.9998899999999997</c:v>
                </c:pt>
                <c:pt idx="13">
                  <c:v>5.4998800000000001</c:v>
                </c:pt>
                <c:pt idx="14">
                  <c:v>5.9998699999999996</c:v>
                </c:pt>
                <c:pt idx="15">
                  <c:v>6.49986</c:v>
                </c:pt>
                <c:pt idx="16">
                  <c:v>6.9998500000000003</c:v>
                </c:pt>
                <c:pt idx="17">
                  <c:v>7.4998399999999998</c:v>
                </c:pt>
                <c:pt idx="18">
                  <c:v>7.9998300000000002</c:v>
                </c:pt>
                <c:pt idx="19">
                  <c:v>8.4998199999999997</c:v>
                </c:pt>
                <c:pt idx="20">
                  <c:v>8.9998100000000001</c:v>
                </c:pt>
                <c:pt idx="21">
                  <c:v>9.4998000000000005</c:v>
                </c:pt>
                <c:pt idx="22">
                  <c:v>9.9997900000000008</c:v>
                </c:pt>
                <c:pt idx="23">
                  <c:v>10.499779999999999</c:v>
                </c:pt>
              </c:numCache>
            </c:numRef>
          </c:cat>
          <c:val>
            <c:numRef>
              <c:f>'Метод простых итераций'!$C$10:$C$33</c:f>
              <c:numCache>
                <c:formatCode>General</c:formatCode>
                <c:ptCount val="24"/>
                <c:pt idx="0">
                  <c:v>3.9999500000019763</c:v>
                </c:pt>
                <c:pt idx="1">
                  <c:v>-0.84948500216800937</c:v>
                </c:pt>
                <c:pt idx="2">
                  <c:v>-0.9999999999565703</c:v>
                </c:pt>
                <c:pt idx="3">
                  <c:v>-0.91196078749737608</c:v>
                </c:pt>
                <c:pt idx="4">
                  <c:v>-0.6989855495065419</c:v>
                </c:pt>
                <c:pt idx="5">
                  <c:v>-0.40311632746529102</c:v>
                </c:pt>
                <c:pt idx="6">
                  <c:v>-4.5795822864864832E-2</c:v>
                </c:pt>
                <c:pt idx="7">
                  <c:v>0.36011885445954328</c:v>
                </c:pt>
                <c:pt idx="8">
                  <c:v>0.80611502965670345</c:v>
                </c:pt>
                <c:pt idx="9">
                  <c:v>1.286164518822301</c:v>
                </c:pt>
                <c:pt idx="10">
                  <c:v>1.7957858412631249</c:v>
                </c:pt>
                <c:pt idx="11">
                  <c:v>2.3315225337368655</c:v>
                </c:pt>
                <c:pt idx="12">
                  <c:v>2.8906308454640706</c:v>
                </c:pt>
                <c:pt idx="13">
                  <c:v>3.4708818148944394</c:v>
                </c:pt>
                <c:pt idx="14">
                  <c:v>4.0704299851257941</c:v>
                </c:pt>
                <c:pt idx="15">
                  <c:v>4.6877230097151843</c:v>
                </c:pt>
                <c:pt idx="16">
                  <c:v>5.3214374449818784</c:v>
                </c:pt>
                <c:pt idx="17">
                  <c:v>5.9704319243978725</c:v>
                </c:pt>
                <c:pt idx="18">
                  <c:v>6.6337122283410501</c:v>
                </c:pt>
                <c:pt idx="19">
                  <c:v>7.310404711255611</c:v>
                </c:pt>
                <c:pt idx="20">
                  <c:v>7.9997357365058921</c:v>
                </c:pt>
                <c:pt idx="21">
                  <c:v>8.7010155175900792</c:v>
                </c:pt>
                <c:pt idx="22">
                  <c:v>9.4136252493033528</c:v>
                </c:pt>
                <c:pt idx="23">
                  <c:v>10.137006734637673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C-4D18-B670-01A6AF280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903344"/>
        <c:axId val="253532320"/>
      </c:lineChart>
      <c:catAx>
        <c:axId val="33890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X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317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532320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253532320"/>
        <c:scaling>
          <c:orientation val="minMax"/>
          <c:max val="10"/>
          <c:min val="-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/>
                  <a:t> </a:t>
                </a:r>
                <a:r>
                  <a:rPr lang="en-US" sz="1600"/>
                  <a:t>f(x)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903344"/>
        <c:crosses val="autoZero"/>
        <c:crossBetween val="midCat"/>
        <c:majorUnit val="5"/>
        <c:dispUnits>
          <c:custUnit val="1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609599</xdr:colOff>
      <xdr:row>4</xdr:row>
      <xdr:rowOff>85723</xdr:rowOff>
    </xdr:from>
    <xdr:to>
      <xdr:col>20</xdr:col>
      <xdr:colOff>333375</xdr:colOff>
      <xdr:row>34</xdr:row>
      <xdr:rowOff>1000125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FF41329-F08C-43A4-B245-CDC3831F808A}"/>
                </a:ext>
              </a:extLst>
            </xdr:cNvPr>
            <xdr:cNvSpPr txBox="1"/>
          </xdr:nvSpPr>
          <xdr:spPr>
            <a:xfrm>
              <a:off x="8620124" y="1123948"/>
              <a:ext cx="6953251" cy="674370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 xmlns:m="http://schemas.openxmlformats.org/officeDocument/2006/math">
                  <m:r>
                    <a:rPr lang="en-US" sz="1200" b="0" i="1">
                      <a:latin typeface="Cambria Math" panose="02040503050406030204" pitchFamily="18" charset="0"/>
                    </a:rPr>
                    <m:t>1) 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n-US" sz="1200" b="0" i="1">
                      <a:latin typeface="Cambria Math" panose="02040503050406030204" pitchFamily="18" charset="0"/>
                    </a:rPr>
                    <m:t>=0</m:t>
                  </m:r>
                </m:oMath>
              </a14:m>
              <a:r>
                <a:rPr lang="en-US" sz="1200" b="0"/>
                <a:t> </a:t>
              </a:r>
              <a:r>
                <a:rPr lang="ru-RU" sz="1200" b="0"/>
                <a:t>не является корнем уравнения,</a:t>
              </a:r>
              <a:r>
                <a:rPr lang="ru-RU" sz="1200" b="0" baseline="0"/>
                <a:t> соотвественно</a:t>
              </a:r>
              <a:r>
                <a:rPr lang="en-US" sz="1200" b="0" baseline="0"/>
                <a:t> </a:t>
              </a:r>
              <a:r>
                <a:rPr lang="ru-RU" sz="1200" b="0" baseline="0"/>
                <a:t>можно приближать следующей функцией: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 baseline="0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200" b="0" i="1" baseline="0">
                        <a:latin typeface="Cambria Math" panose="02040503050406030204" pitchFamily="18" charset="0"/>
                      </a:rPr>
                      <m:t>∗</m:t>
                    </m:r>
                    <m:func>
                      <m:funcPr>
                        <m:ctrlPr>
                          <a:rPr lang="en-US" sz="1200" b="0" i="1" baseline="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200" b="0" i="0" baseline="0">
                            <a:latin typeface="Cambria Math" panose="02040503050406030204" pitchFamily="18" charset="0"/>
                          </a:rPr>
                          <m:t>lg</m:t>
                        </m:r>
                      </m:fName>
                      <m:e>
                        <m:d>
                          <m:dPr>
                            <m:ctrlPr>
                              <a:rPr lang="en-US" sz="1200" b="0" i="1" baseline="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0" i="1" baseline="0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200" b="0" i="1" baseline="0">
                                <a:latin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</m:e>
                    </m:func>
                    <m:r>
                      <a:rPr lang="en-US" sz="1200" b="0" i="1" baseline="0">
                        <a:latin typeface="Cambria Math" panose="02040503050406030204" pitchFamily="18" charset="0"/>
                      </a:rPr>
                      <m:t>=1 </m:t>
                    </m:r>
                    <m:r>
                      <a:rPr lang="en-US" sz="12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  <m:func>
                      <m:funcPr>
                        <m:ctrlPr>
                          <a:rPr lang="en-US" sz="12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200" b="0" i="0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lg</m:t>
                        </m:r>
                      </m:fName>
                      <m:e>
                        <m:d>
                          <m:dPr>
                            <m:ctrlPr>
                              <a:rPr lang="en-US" sz="12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2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</m:e>
                    </m:func>
                    <m:r>
                      <a:rPr lang="en-US" sz="12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2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2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den>
                    </m:f>
                  </m:oMath>
                </m:oMathPara>
              </a14:m>
              <a:endParaRPr lang="ru-RU" sz="1200" b="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f>
                          <m:f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den>
                        </m:f>
                      </m:sup>
                    </m:sSup>
                    <m:r>
                      <a:rPr lang="en-US" sz="1200" b="0" i="1">
                        <a:latin typeface="Cambria Math" panose="02040503050406030204" pitchFamily="18" charset="0"/>
                      </a:rPr>
                      <m:t> −1 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⟹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−1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ru-RU" sz="1200" b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f>
                              <m:f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den>
                            </m:f>
                          </m:sup>
                        </m:s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10</m:t>
                        </m:r>
                      </m:num>
                      <m:den>
                        <m:sSup>
                          <m:sSup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200" b="0"/>
            </a:p>
            <a:p>
              <a:endParaRPr lang="en-US" sz="1200" b="0"/>
            </a:p>
            <a:p>
              <a:r>
                <a:rPr lang="ru-RU" sz="1200" b="0"/>
                <a:t>				и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func>
                          <m:func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200" b="0" i="0">
                                <a:latin typeface="Cambria Math" panose="02040503050406030204" pitchFamily="18" charset="0"/>
                              </a:rPr>
                              <m:t>lg</m:t>
                            </m:r>
                          </m:fName>
                          <m:e>
                            <m:d>
                              <m:d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+1</m:t>
                                </m:r>
                              </m:e>
                            </m:d>
                          </m:e>
                        </m:func>
                      </m:den>
                    </m:f>
                  </m:oMath>
                </m:oMathPara>
              </a14:m>
              <a:endParaRPr lang="ru-RU" sz="1200" b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2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10</m:t>
                        </m:r>
                      </m:num>
                      <m:den>
                        <m:d>
                          <m:d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  <m:func>
                          <m:func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p>
                              <m:sSupPr>
                                <m:ctrlP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n-US" sz="1200" b="0" i="0">
                                    <a:latin typeface="Cambria Math" panose="02040503050406030204" pitchFamily="18" charset="0"/>
                                  </a:rPr>
                                  <m:t>ln</m:t>
                                </m:r>
                              </m:e>
                              <m:sup>
                                <m:r>
                                  <a:rPr lang="en-US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fName>
                          <m:e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+1)</m:t>
                            </m:r>
                          </m:e>
                        </m:func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200" b="0"/>
            </a:p>
            <a:p>
              <a:r>
                <a:rPr lang="ru-RU" sz="1200" b="0"/>
                <a:t>является</a:t>
              </a:r>
              <a:r>
                <a:rPr lang="ru-RU" sz="1200" b="0" baseline="0"/>
                <a:t> корректным преобразованием. </a:t>
              </a:r>
            </a:p>
            <a:p>
              <a:endParaRPr lang="en-US" sz="1200" b="0"/>
            </a:p>
            <a:p>
              <a:r>
                <a:rPr lang="en-US" sz="1100" b="0"/>
                <a:t>2) </a:t>
              </a:r>
              <a:r>
                <a:rPr lang="ru-RU" sz="1100" b="0"/>
                <a:t>Из</a:t>
              </a:r>
              <a:r>
                <a:rPr lang="ru-RU" sz="1100" b="0" baseline="0"/>
                <a:t> анализа графика, можно увидеть, что графика функции можно разделить на 2 интервала:</a:t>
              </a:r>
            </a:p>
            <a:p>
              <a:endParaRPr lang="ru-RU" sz="1100" b="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−1;0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  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и 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0;</m:t>
                        </m:r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</m:d>
                  </m:oMath>
                </m:oMathPara>
              </a14:m>
              <a:endParaRPr lang="en-US" sz="1100" b="0"/>
            </a:p>
            <a:p>
              <a:endParaRPr lang="en-US" sz="1100" b="0"/>
            </a:p>
            <a:p>
              <a:r>
                <a:rPr lang="en-US" sz="1100"/>
                <a:t>3) </a:t>
              </a:r>
              <a:r>
                <a:rPr lang="ru-RU" sz="1100"/>
                <a:t>Проверим</a:t>
              </a:r>
              <a:r>
                <a:rPr lang="ru-RU" sz="1100" baseline="0"/>
                <a:t> предположение о том, что на </a:t>
              </a:r>
              <a14:m>
                <m:oMath xmlns:m="http://schemas.openxmlformats.org/officeDocument/2006/math">
                  <m:d>
                    <m:dPr>
                      <m:begChr m:val="["/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10; +</m:t>
                      </m:r>
                      <m:r>
                        <a:rPr lang="en-US" sz="1100" b="0" i="1" baseline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∞</m:t>
                      </m:r>
                    </m:e>
                  </m:d>
                </m:oMath>
              </a14:m>
              <a:r>
                <a:rPr lang="ru-RU" sz="1100"/>
                <a:t> корней нет: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∗</m:t>
                            </m:r>
                            <m:func>
                              <m:func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latin typeface="Cambria Math" panose="02040503050406030204" pitchFamily="18" charset="0"/>
                                  </a:rPr>
                                  <m:t>lg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e>
                                </m:d>
                              </m:e>
                            </m:func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1100" b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lg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 sz="1100"/>
            </a:p>
            <a:p>
              <a:r>
                <a:rPr lang="en-US" sz="1100"/>
                <a:t>4)</a:t>
              </a:r>
              <a:r>
                <a:rPr lang="ru-RU" sz="1100" baseline="0"/>
                <a:t> По графику видно, что на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[10; +</m:t>
                  </m:r>
                  <m:r>
                    <a:rPr lang="en-US" sz="1100" b="0" i="1" baseline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∞)</m:t>
                  </m:r>
                </m:oMath>
              </a14:m>
              <a:r>
                <a:rPr lang="ru-RU" sz="1100"/>
                <a:t> производная неотрицательна.</a:t>
              </a:r>
              <a:r>
                <a:rPr lang="ru-RU" sz="1100" baseline="0"/>
                <a:t> Соотвественно, функция возрастает и корней нет. </a:t>
              </a:r>
            </a:p>
            <a:p>
              <a:endParaRPr lang="ru-RU" sz="1100" baseline="0"/>
            </a:p>
            <a:p>
              <a:r>
                <a:rPr lang="ru-RU" sz="1100" baseline="0"/>
                <a:t>5) Выберем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r>
                <a:rPr lang="ru-RU" sz="1100" b="0" baseline="0"/>
                <a:t> для промежутка </a:t>
              </a:r>
              <a14:m>
                <m:oMath xmlns:m="http://schemas.openxmlformats.org/officeDocument/2006/math">
                  <m:d>
                    <m:dPr>
                      <m:endChr m:val="]"/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−1;0</m:t>
                      </m:r>
                    </m:e>
                  </m:d>
                </m:oMath>
              </a14:m>
              <a:endParaRPr lang="ru-RU" sz="1100" b="0" baseline="0"/>
            </a:p>
            <a:p>
              <a:endParaRPr lang="ru-RU" sz="1100" b="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lit/>
                      </m:rPr>
                      <a:rPr lang="en-US" sz="1100" b="0" i="1" baseline="0">
                        <a:latin typeface="Cambria Math" panose="02040503050406030204" pitchFamily="18" charset="0"/>
                      </a:rPr>
                      <m:t>]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r>
                      <a:rPr lang="ru-RU" sz="1100" b="0" i="1" baseline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0. 6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ru-RU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en-US" sz="1100" b="0" i="1" baseline="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 baseline="0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 baseline="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≈−0.1378 ⇒</m:t>
                    </m:r>
                    <m:d>
                      <m:dPr>
                        <m:begChr m:val="|"/>
                        <m:endChr m:val="|"/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</m:t>
                            </m:r>
                          </m:e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d>
                          <m:d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 baseline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&lt;1</m:t>
                    </m:r>
                  </m:oMath>
                </m:oMathPara>
              </a14:m>
              <a:endParaRPr lang="en-US" sz="110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⟹</m:t>
                    </m:r>
                    <m:r>
                      <a:rPr lang="ru-RU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Достаточное условие выполнено</m:t>
                    </m:r>
                  </m:oMath>
                </m:oMathPara>
              </a14:m>
              <a:endParaRPr lang="en-US" sz="1100" baseline="0"/>
            </a:p>
            <a:p>
              <a:r>
                <a:rPr lang="en-US" sz="1100" baseline="0"/>
                <a:t>6) </a:t>
              </a:r>
              <a:r>
                <a:rPr lang="ru-RU" sz="1100" baseline="0"/>
                <a:t>Выберем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r>
                <a:rPr lang="ru-RU" sz="1100" baseline="0"/>
                <a:t> для 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0;10</m:t>
                      </m:r>
                    </m:e>
                  </m:d>
                </m:oMath>
              </a14:m>
              <a:endParaRPr lang="en-US" sz="1100" b="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] 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r>
                      <a:rPr lang="ru-RU" sz="1100" b="0" i="1" baseline="0">
                        <a:latin typeface="Cambria Math" panose="02040503050406030204" pitchFamily="18" charset="0"/>
                      </a:rPr>
                      <m:t>5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ru-RU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5</m:t>
                        </m:r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=≈−0.12 ⇒</m:t>
                    </m:r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 baseline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 baseline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&lt;1</m:t>
                    </m:r>
                  </m:oMath>
                </m:oMathPara>
              </a14:m>
              <a:endParaRPr lang="en-US" sz="110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⟹</m:t>
                    </m:r>
                    <m:r>
                      <a:rPr lang="ru-RU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Достаточное условие выполнено</m:t>
                    </m:r>
                  </m:oMath>
                </m:oMathPara>
              </a14:m>
              <a:endParaRPr lang="ru-RU" sz="1100" baseline="0"/>
            </a:p>
            <a:p>
              <a:endParaRPr lang="ru-RU" sz="1100" baseline="0"/>
            </a:p>
            <a:p>
              <a:r>
                <a:rPr lang="en-GB" sz="1100" baseline="0"/>
                <a:t>http://statistica.ru/branches-maths/chislennye-metody-resheniya-uravneniy/#s5</a:t>
              </a:r>
              <a:endParaRPr lang="ru-RU" sz="1100" baseline="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FF41329-F08C-43A4-B245-CDC3831F808A}"/>
                </a:ext>
              </a:extLst>
            </xdr:cNvPr>
            <xdr:cNvSpPr txBox="1"/>
          </xdr:nvSpPr>
          <xdr:spPr>
            <a:xfrm>
              <a:off x="8620124" y="1123948"/>
              <a:ext cx="6953251" cy="674370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0" i="0">
                  <a:latin typeface="Cambria Math" panose="02040503050406030204" pitchFamily="18" charset="0"/>
                </a:rPr>
                <a:t>1) 𝑥=0</a:t>
              </a:r>
              <a:r>
                <a:rPr lang="en-US" sz="1200" b="0"/>
                <a:t> </a:t>
              </a:r>
              <a:r>
                <a:rPr lang="ru-RU" sz="1200" b="0"/>
                <a:t>не является корнем уравнения,</a:t>
              </a:r>
              <a:r>
                <a:rPr lang="ru-RU" sz="1200" b="0" baseline="0"/>
                <a:t> соотвественно</a:t>
              </a:r>
              <a:r>
                <a:rPr lang="en-US" sz="1200" b="0" baseline="0"/>
                <a:t> </a:t>
              </a:r>
              <a:r>
                <a:rPr lang="ru-RU" sz="1200" b="0" baseline="0"/>
                <a:t>можно приближать следующей функцией:</a:t>
              </a:r>
            </a:p>
            <a:p>
              <a:r>
                <a:rPr lang="en-US" sz="1200" b="0" i="0" baseline="0">
                  <a:latin typeface="Cambria Math" panose="02040503050406030204" pitchFamily="18" charset="0"/>
                </a:rPr>
                <a:t>𝑥∗lg⁡(𝑥+1)=1 </a:t>
              </a:r>
              <a:r>
                <a:rPr lang="en-US" sz="12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⇒lg⁡(𝑥+1)=  1/𝑥</a:t>
              </a:r>
              <a:endParaRPr lang="ru-RU" sz="1200" b="0" baseline="0"/>
            </a:p>
            <a:p>
              <a:r>
                <a:rPr lang="en-US" sz="1200" b="0" i="0">
                  <a:latin typeface="Cambria Math" panose="02040503050406030204" pitchFamily="18" charset="0"/>
                </a:rPr>
                <a:t>𝑥=10^(1/𝑥)  −1 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⟹𝑔(𝑥)=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10^(1/𝑥)  −1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endParaRPr lang="ru-RU" sz="1200" b="0"/>
            </a:p>
            <a:p>
              <a:r>
                <a:rPr lang="en-US" sz="1200" b="0" i="0">
                  <a:latin typeface="Cambria Math" panose="02040503050406030204" pitchFamily="18" charset="0"/>
                </a:rPr>
                <a:t>𝑔^′ (𝑥)=−(10^(1/𝑥)∗𝑙𝑛10)/𝑥^2 </a:t>
              </a:r>
              <a:endParaRPr lang="en-US" sz="1200" b="0"/>
            </a:p>
            <a:p>
              <a:endParaRPr lang="en-US" sz="1200" b="0"/>
            </a:p>
            <a:p>
              <a:r>
                <a:rPr lang="ru-RU" sz="1200" b="0"/>
                <a:t>				и</a:t>
              </a:r>
            </a:p>
            <a:p>
              <a:r>
                <a:rPr lang="en-US" sz="1200" b="0" i="0">
                  <a:latin typeface="Cambria Math" panose="02040503050406030204" pitchFamily="18" charset="0"/>
                </a:rPr>
                <a:t>𝑔(𝑥)=1/lg⁡(𝑥+1) </a:t>
              </a:r>
              <a:endParaRPr lang="ru-RU" sz="1200" b="0"/>
            </a:p>
            <a:p>
              <a:r>
                <a:rPr lang="en-US" sz="1200" b="0" i="0">
                  <a:latin typeface="Cambria Math" panose="02040503050406030204" pitchFamily="18" charset="0"/>
                </a:rPr>
                <a:t>𝑔^′ (𝑥)=−𝑙𝑛10/((𝑥+1)  ln^2⁡〖(𝑥+1)〗 )  </a:t>
              </a:r>
              <a:endParaRPr lang="en-US" sz="1200" b="0"/>
            </a:p>
            <a:p>
              <a:r>
                <a:rPr lang="ru-RU" sz="1200" b="0"/>
                <a:t>является</a:t>
              </a:r>
              <a:r>
                <a:rPr lang="ru-RU" sz="1200" b="0" baseline="0"/>
                <a:t> корректным преобразованием. </a:t>
              </a:r>
            </a:p>
            <a:p>
              <a:endParaRPr lang="en-US" sz="1200" b="0"/>
            </a:p>
            <a:p>
              <a:r>
                <a:rPr lang="en-US" sz="1100" b="0"/>
                <a:t>2) </a:t>
              </a:r>
              <a:r>
                <a:rPr lang="ru-RU" sz="1100" b="0"/>
                <a:t>Из</a:t>
              </a:r>
              <a:r>
                <a:rPr lang="ru-RU" sz="1100" b="0" baseline="0"/>
                <a:t> анализа графика, можно увидеть, что графика функции можно разделить на 2 интервала:</a:t>
              </a:r>
            </a:p>
            <a:p>
              <a:endParaRPr lang="ru-RU" sz="1100" b="0" baseline="0"/>
            </a:p>
            <a:p>
              <a:r>
                <a:rPr lang="en-US" sz="1100" b="0" i="0">
                  <a:latin typeface="Cambria Math" panose="02040503050406030204" pitchFamily="18" charset="0"/>
                </a:rPr>
                <a:t>(−1;0]   </a:t>
              </a:r>
              <a:r>
                <a:rPr lang="ru-RU" sz="1100" b="0" i="0">
                  <a:latin typeface="Cambria Math" panose="02040503050406030204" pitchFamily="18" charset="0"/>
                </a:rPr>
                <a:t>и </a:t>
              </a:r>
              <a:r>
                <a:rPr lang="en-US" sz="1100" b="0" i="0">
                  <a:latin typeface="Cambria Math" panose="02040503050406030204" pitchFamily="18" charset="0"/>
                </a:rPr>
                <a:t>[0;</a:t>
              </a:r>
              <a:r>
                <a:rPr lang="ru-RU" sz="1100" b="0" i="0">
                  <a:latin typeface="Cambria Math" panose="02040503050406030204" pitchFamily="18" charset="0"/>
                </a:rPr>
                <a:t>10</a:t>
              </a:r>
              <a:r>
                <a:rPr lang="en-US" sz="1100" b="0" i="0">
                  <a:latin typeface="Cambria Math" panose="02040503050406030204" pitchFamily="18" charset="0"/>
                </a:rPr>
                <a:t>]</a:t>
              </a:r>
              <a:endParaRPr lang="en-US" sz="1100" b="0"/>
            </a:p>
            <a:p>
              <a:endParaRPr lang="en-US" sz="1100" b="0"/>
            </a:p>
            <a:p>
              <a:r>
                <a:rPr lang="en-US" sz="1100"/>
                <a:t>3) </a:t>
              </a:r>
              <a:r>
                <a:rPr lang="ru-RU" sz="1100"/>
                <a:t>Проверим</a:t>
              </a:r>
              <a:r>
                <a:rPr lang="ru-RU" sz="1100" baseline="0"/>
                <a:t> предположение о том, что на </a:t>
              </a:r>
              <a:r>
                <a:rPr lang="en-US" sz="1100" b="0" i="0" baseline="0">
                  <a:latin typeface="Cambria Math" panose="02040503050406030204" pitchFamily="18" charset="0"/>
                </a:rPr>
                <a:t>[10; +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∞)</a:t>
              </a:r>
              <a:r>
                <a:rPr lang="ru-RU" sz="1100"/>
                <a:t> корней нет: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(𝑥∗lg⁡(𝑥+1)−1)^′=0</a:t>
              </a:r>
              <a:endParaRPr lang="en-US" sz="1100" b="0"/>
            </a:p>
            <a:p>
              <a:r>
                <a:rPr lang="en-US" sz="1100" b="0" i="0">
                  <a:latin typeface="Cambria Math" panose="02040503050406030204" pitchFamily="18" charset="0"/>
                </a:rPr>
                <a:t>lg⁡(𝑥+1)+𝑥 1/(𝑥+1)𝑙𝑛10=0</a:t>
              </a:r>
              <a:endParaRPr lang="en-US" sz="1100"/>
            </a:p>
            <a:p>
              <a:r>
                <a:rPr lang="en-US" sz="1100"/>
                <a:t>4)</a:t>
              </a:r>
              <a:r>
                <a:rPr lang="ru-RU" sz="1100" baseline="0"/>
                <a:t> По графику видно, что на </a:t>
              </a:r>
              <a:r>
                <a:rPr lang="en-US" sz="1100" b="0" i="0" baseline="0">
                  <a:latin typeface="Cambria Math" panose="02040503050406030204" pitchFamily="18" charset="0"/>
                </a:rPr>
                <a:t>[10; +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∞)</a:t>
              </a:r>
              <a:r>
                <a:rPr lang="ru-RU" sz="1100"/>
                <a:t> производная неотрицательна.</a:t>
              </a:r>
              <a:r>
                <a:rPr lang="ru-RU" sz="1100" baseline="0"/>
                <a:t> Соотвественно, функция возрастает и корней нет. </a:t>
              </a:r>
            </a:p>
            <a:p>
              <a:endParaRPr lang="ru-RU" sz="1100" baseline="0"/>
            </a:p>
            <a:p>
              <a:r>
                <a:rPr lang="ru-RU" sz="1100" baseline="0"/>
                <a:t>5) Выберем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𝑥_0</a:t>
              </a:r>
              <a:r>
                <a:rPr lang="ru-RU" sz="1100" b="0" baseline="0"/>
                <a:t> для промежутка </a:t>
              </a:r>
              <a:r>
                <a:rPr lang="en-US" sz="1100" b="0" i="0" baseline="0">
                  <a:latin typeface="Cambria Math" panose="02040503050406030204" pitchFamily="18" charset="0"/>
                </a:rPr>
                <a:t>(−1;0]</a:t>
              </a:r>
              <a:endParaRPr lang="ru-RU" sz="1100" b="0" baseline="0"/>
            </a:p>
            <a:p>
              <a:endParaRPr lang="ru-RU" sz="1100" b="0" baseline="0"/>
            </a:p>
            <a:p>
              <a:r>
                <a:rPr lang="en-US" sz="1100" b="0" i="0" baseline="0">
                  <a:latin typeface="Cambria Math" panose="02040503050406030204" pitchFamily="18" charset="0"/>
                </a:rPr>
                <a:t>\] 𝑥_0=</a:t>
              </a:r>
              <a:r>
                <a:rPr lang="ru-RU" sz="1100" b="0" i="0" baseline="0">
                  <a:latin typeface="Cambria Math" panose="02040503050406030204" pitchFamily="18" charset="0"/>
                </a:rPr>
                <a:t>−</a:t>
              </a:r>
              <a:r>
                <a:rPr lang="en-US" sz="1100" b="0" i="0" baseline="0">
                  <a:latin typeface="Cambria Math" panose="02040503050406030204" pitchFamily="18" charset="0"/>
                </a:rPr>
                <a:t>0. 6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⇒𝑔^′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</a:t>
              </a:r>
              <a:r>
                <a:rPr lang="ru-RU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⇒𝑔^′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(𝑥_0 )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≈−0.1378 ⇒|𝑔^′ (𝑥_0 )|&lt;1</a:t>
              </a:r>
              <a:endParaRPr lang="en-US" sz="1100" baseline="0"/>
            </a:p>
            <a:p>
              <a:r>
                <a:rPr lang="ru-RU" sz="110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⟹</a:t>
              </a:r>
              <a:r>
                <a:rPr lang="ru-RU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Достаточное условие выполнено</a:t>
              </a:r>
              <a:endParaRPr lang="en-US" sz="1100" baseline="0"/>
            </a:p>
            <a:p>
              <a:r>
                <a:rPr lang="en-US" sz="1100" baseline="0"/>
                <a:t>6) </a:t>
              </a:r>
              <a:r>
                <a:rPr lang="ru-RU" sz="1100" baseline="0"/>
                <a:t>Выберем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𝑥_0</a:t>
              </a:r>
              <a:r>
                <a:rPr lang="ru-RU" sz="1100" baseline="0"/>
                <a:t> для </a:t>
              </a:r>
              <a:r>
                <a:rPr lang="en-US" sz="1100" b="0" i="0" baseline="0">
                  <a:latin typeface="Cambria Math" panose="02040503050406030204" pitchFamily="18" charset="0"/>
                </a:rPr>
                <a:t>[0;10]</a:t>
              </a:r>
              <a:endParaRPr lang="en-US" sz="1100" b="0" baseline="0"/>
            </a:p>
            <a:p>
              <a:r>
                <a:rPr lang="en-US" sz="1100" b="0" i="0" baseline="0">
                  <a:latin typeface="Cambria Math" panose="02040503050406030204" pitchFamily="18" charset="0"/>
                </a:rPr>
                <a:t>] 𝑥_0=</a:t>
              </a:r>
              <a:r>
                <a:rPr lang="ru-RU" sz="1100" b="0" i="0" baseline="0">
                  <a:latin typeface="Cambria Math" panose="02040503050406030204" pitchFamily="18" charset="0"/>
                </a:rPr>
                <a:t>5</a:t>
              </a:r>
              <a:r>
                <a:rPr lang="en-US" sz="1100" b="0" i="0" baseline="0">
                  <a:latin typeface="Cambria Math" panose="02040503050406030204" pitchFamily="18" charset="0"/>
                </a:rPr>
                <a:t> 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⇒𝑔^′ (</a:t>
              </a:r>
              <a:r>
                <a:rPr lang="ru-RU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)=≈−0.12 ⇒𝑔^′ (𝑥_0 )&lt;1</a:t>
              </a:r>
              <a:endParaRPr lang="en-US" sz="1100" baseline="0"/>
            </a:p>
            <a:p>
              <a:r>
                <a:rPr lang="ru-RU" sz="110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⟹</a:t>
              </a:r>
              <a:r>
                <a:rPr lang="ru-RU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Достаточное условие выполнено</a:t>
              </a:r>
              <a:endParaRPr lang="ru-RU" sz="1100" baseline="0"/>
            </a:p>
            <a:p>
              <a:endParaRPr lang="ru-RU" sz="1100" baseline="0"/>
            </a:p>
            <a:p>
              <a:r>
                <a:rPr lang="en-GB" sz="1100" baseline="0"/>
                <a:t>http://statistica.ru/branches-maths/chislennye-metody-resheniya-uravneniy/#s5</a:t>
              </a:r>
              <a:endParaRPr lang="ru-RU" sz="1100" baseline="0"/>
            </a:p>
          </xdr:txBody>
        </xdr:sp>
      </mc:Fallback>
    </mc:AlternateContent>
    <xdr:clientData/>
  </xdr:twoCellAnchor>
  <xdr:twoCellAnchor>
    <xdr:from>
      <xdr:col>21</xdr:col>
      <xdr:colOff>252412</xdr:colOff>
      <xdr:row>19</xdr:row>
      <xdr:rowOff>4762</xdr:rowOff>
    </xdr:from>
    <xdr:to>
      <xdr:col>26</xdr:col>
      <xdr:colOff>509587</xdr:colOff>
      <xdr:row>33</xdr:row>
      <xdr:rowOff>80962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6A031B7-9429-40E3-AEDD-B499AE1D9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40</xdr:row>
      <xdr:rowOff>47625</xdr:rowOff>
    </xdr:from>
    <xdr:to>
      <xdr:col>7</xdr:col>
      <xdr:colOff>9525</xdr:colOff>
      <xdr:row>56</xdr:row>
      <xdr:rowOff>180975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DAEC48-4FC9-4DC4-B2E3-9442829ACC18}"/>
                </a:ext>
              </a:extLst>
            </xdr:cNvPr>
            <xdr:cNvSpPr txBox="1"/>
          </xdr:nvSpPr>
          <xdr:spPr>
            <a:xfrm>
              <a:off x="3219450" y="8058150"/>
              <a:ext cx="2362200" cy="31813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−1 </m:t>
                    </m:r>
                  </m:oMath>
                </m:oMathPara>
              </a14:m>
              <a:endParaRPr lang="en-US" sz="110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ru-RU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0.6</m:t>
                    </m:r>
                  </m:oMath>
                </m:oMathPara>
              </a14:m>
              <a:endParaRPr lang="ru-RU" sz="1100" b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latin typeface="Cambria Math" panose="02040503050406030204" pitchFamily="18" charset="0"/>
                      </a:rPr>
                      <m:t>𝜀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US" sz="1100" b="0"/>
            </a:p>
            <a:p>
              <a:endParaRPr lang="ru-RU" sz="1100"/>
            </a:p>
            <a:p>
              <a:r>
                <a:rPr lang="ru-RU" sz="1100"/>
                <a:t>Итерационный</a:t>
              </a:r>
              <a:r>
                <a:rPr lang="ru-RU" sz="1100" baseline="0"/>
                <a:t> процесс: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𝑔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100" b="0"/>
            </a:p>
            <a:p>
              <a:r>
                <a:rPr lang="ru-RU" sz="1100"/>
                <a:t>Условие</a:t>
              </a:r>
              <a:r>
                <a:rPr lang="ru-RU" sz="1100" baseline="0"/>
                <a:t> остановки: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&lt;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𝜀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  <a:p>
              <a:endParaRPr lang="en-US" sz="1100"/>
            </a:p>
            <a:p>
              <a:r>
                <a:rPr lang="ru-RU" sz="1100"/>
                <a:t>Полученный</a:t>
              </a:r>
              <a:r>
                <a:rPr lang="ru-RU" sz="1100" baseline="0"/>
                <a:t> результат</a:t>
              </a:r>
              <a:r>
                <a:rPr lang="en-US" sz="1100" baseline="0"/>
                <a:t>:</a:t>
              </a:r>
              <a:endParaRPr lang="ru-RU" sz="110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=−0.9186 </m:t>
                    </m:r>
                  </m:oMath>
                </m:oMathPara>
              </a14:m>
              <a:endParaRPr lang="en-US" sz="1100"/>
            </a:p>
            <a:p>
              <a:r>
                <a:rPr lang="ru-RU" sz="1100"/>
                <a:t>Подставим</a:t>
              </a:r>
              <a:r>
                <a:rPr lang="ru-RU" sz="1100" baseline="0"/>
                <a:t> в исходное уравнение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 baseline="0">
                        <a:latin typeface="Cambria Math" panose="02040503050406030204" pitchFamily="18" charset="0"/>
                      </a:rPr>
                      <m:t>−0.91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86</m:t>
                    </m:r>
                    <m:r>
                      <a:rPr lang="ru-RU" sz="1100" b="0" i="1" baseline="0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𝑙𝑜𝑔</m:t>
                    </m:r>
                    <m:d>
                      <m:dPr>
                        <m:ctrlPr>
                          <a:rPr lang="ru-RU" sz="1100" b="0" i="1" baseline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ru-RU" sz="1100" b="0" i="1" baseline="0">
                            <a:latin typeface="Cambria Math" panose="02040503050406030204" pitchFamily="18" charset="0"/>
                          </a:rPr>
                          <m:t>−0.9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186</m:t>
                        </m:r>
                        <m:r>
                          <a:rPr lang="ru-RU" sz="1100" b="0" i="1" baseline="0">
                            <a:latin typeface="Cambria Math" panose="02040503050406030204" pitchFamily="18" charset="0"/>
                          </a:rPr>
                          <m:t>+1</m:t>
                        </m:r>
                      </m:e>
                    </m:d>
                    <m:r>
                      <a:rPr lang="ru-RU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r>
                      <a:rPr lang="en-US" sz="1100" b="0" i="1" baseline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1.0007 </m:t>
                    </m:r>
                  </m:oMath>
                </m:oMathPara>
              </a14:m>
              <a:endParaRPr lang="en-US" sz="1100" b="0" baseline="0">
                <a:ea typeface="Cambria Math" panose="02040503050406030204" pitchFamily="18" charset="0"/>
              </a:endParaRPr>
            </a:p>
            <a:p>
              <a:r>
                <a:rPr lang="ru-RU" sz="1100" baseline="0">
                  <a:solidFill>
                    <a:srgbClr val="00B050"/>
                  </a:solidFill>
                </a:rPr>
                <a:t>Что равняется 1 при заданной точности до 3 знака. </a:t>
              </a:r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DAEC48-4FC9-4DC4-B2E3-9442829ACC18}"/>
                </a:ext>
              </a:extLst>
            </xdr:cNvPr>
            <xdr:cNvSpPr txBox="1"/>
          </xdr:nvSpPr>
          <xdr:spPr>
            <a:xfrm>
              <a:off x="3219450" y="8058150"/>
              <a:ext cx="2362200" cy="31813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𝑔(𝑥)= 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10^(1/𝑥)  −1 </a:t>
              </a:r>
              <a:endParaRPr lang="en-US" sz="1100"/>
            </a:p>
            <a:p>
              <a:r>
                <a:rPr lang="en-US" sz="1100" b="0" i="0">
                  <a:latin typeface="Cambria Math" panose="02040503050406030204" pitchFamily="18" charset="0"/>
                </a:rPr>
                <a:t>𝑥_0=</a:t>
              </a:r>
              <a:r>
                <a:rPr lang="ru-RU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</a:rPr>
                <a:t>0.6</a:t>
              </a:r>
              <a:endParaRPr lang="ru-RU" sz="1100" b="0"/>
            </a:p>
            <a:p>
              <a:r>
                <a:rPr lang="ru-RU" sz="1100" b="0" i="0">
                  <a:latin typeface="Cambria Math" panose="02040503050406030204" pitchFamily="18" charset="0"/>
                </a:rPr>
                <a:t>𝜀</a:t>
              </a:r>
              <a:r>
                <a:rPr lang="en-US" sz="1100" b="0" i="0">
                  <a:latin typeface="Cambria Math" panose="02040503050406030204" pitchFamily="18" charset="0"/>
                </a:rPr>
                <a:t>=10^(−3)</a:t>
              </a:r>
              <a:endParaRPr lang="en-US" sz="1100" b="0"/>
            </a:p>
            <a:p>
              <a:endParaRPr lang="ru-RU" sz="1100"/>
            </a:p>
            <a:p>
              <a:r>
                <a:rPr lang="ru-RU" sz="1100"/>
                <a:t>Итерационный</a:t>
              </a:r>
              <a:r>
                <a:rPr lang="ru-RU" sz="1100" baseline="0"/>
                <a:t> процесс: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𝑥_(𝑛+1)=𝑔(𝑥_𝑛 )</a:t>
              </a:r>
              <a:endParaRPr lang="en-US" sz="1100" b="0"/>
            </a:p>
            <a:p>
              <a:r>
                <a:rPr lang="ru-RU" sz="1100"/>
                <a:t>Условие</a:t>
              </a:r>
              <a:r>
                <a:rPr lang="ru-RU" sz="1100" baseline="0"/>
                <a:t> остановки:</a:t>
              </a:r>
            </a:p>
            <a:p>
              <a:r>
                <a:rPr lang="en-US" sz="1100" b="0" i="0">
                  <a:latin typeface="Cambria Math" panose="02040503050406030204" pitchFamily="18" charset="0"/>
                </a:rPr>
                <a:t>|𝑥_(𝑛+1)−𝑥_𝑛 |&lt;𝜀</a:t>
              </a:r>
              <a:endParaRPr lang="en-US" sz="1100"/>
            </a:p>
            <a:p>
              <a:endParaRPr lang="en-US" sz="1100"/>
            </a:p>
            <a:p>
              <a:endParaRPr lang="en-US" sz="1100"/>
            </a:p>
            <a:p>
              <a:r>
                <a:rPr lang="ru-RU" sz="1100"/>
                <a:t>Полученный</a:t>
              </a:r>
              <a:r>
                <a:rPr lang="ru-RU" sz="1100" baseline="0"/>
                <a:t> результат</a:t>
              </a:r>
              <a:r>
                <a:rPr lang="en-US" sz="1100" baseline="0"/>
                <a:t>:</a:t>
              </a:r>
              <a:endParaRPr lang="ru-RU" sz="1100" baseline="0"/>
            </a:p>
            <a:p>
              <a:r>
                <a:rPr lang="en-US" sz="1100" b="0" i="0">
                  <a:latin typeface="Cambria Math" panose="02040503050406030204" pitchFamily="18" charset="0"/>
                </a:rPr>
                <a:t>𝑥_𝑛=−0.9186 </a:t>
              </a:r>
              <a:endParaRPr lang="en-US" sz="1100"/>
            </a:p>
            <a:p>
              <a:r>
                <a:rPr lang="ru-RU" sz="1100"/>
                <a:t>Подставим</a:t>
              </a:r>
              <a:r>
                <a:rPr lang="ru-RU" sz="1100" baseline="0"/>
                <a:t> в исходное уравнение</a:t>
              </a:r>
            </a:p>
            <a:p>
              <a:r>
                <a:rPr lang="ru-RU" sz="1100" b="0" i="0" baseline="0">
                  <a:latin typeface="Cambria Math" panose="02040503050406030204" pitchFamily="18" charset="0"/>
                </a:rPr>
                <a:t>−0.91</a:t>
              </a:r>
              <a:r>
                <a:rPr lang="en-US" sz="1100" b="0" i="0" baseline="0">
                  <a:latin typeface="Cambria Math" panose="02040503050406030204" pitchFamily="18" charset="0"/>
                </a:rPr>
                <a:t>86</a:t>
              </a:r>
              <a:r>
                <a:rPr lang="ru-RU" sz="1100" b="0" i="0" baseline="0">
                  <a:latin typeface="Cambria Math" panose="02040503050406030204" pitchFamily="18" charset="0"/>
                </a:rPr>
                <a:t>∗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𝑙𝑜𝑔</a:t>
              </a:r>
              <a:r>
                <a:rPr lang="ru-RU" sz="1100" b="0" i="0" baseline="0">
                  <a:latin typeface="Cambria Math" panose="02040503050406030204" pitchFamily="18" charset="0"/>
                </a:rPr>
                <a:t>(−0.9</a:t>
              </a:r>
              <a:r>
                <a:rPr lang="en-US" sz="1100" b="0" i="0" baseline="0">
                  <a:latin typeface="Cambria Math" panose="02040503050406030204" pitchFamily="18" charset="0"/>
                </a:rPr>
                <a:t>186</a:t>
              </a:r>
              <a:r>
                <a:rPr lang="ru-RU" sz="1100" b="0" i="0" baseline="0">
                  <a:latin typeface="Cambria Math" panose="02040503050406030204" pitchFamily="18" charset="0"/>
                </a:rPr>
                <a:t>+1)</a:t>
              </a:r>
              <a:r>
                <a:rPr lang="ru-RU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≈</a:t>
              </a:r>
              <a:r>
                <a:rPr lang="en-US" sz="11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1.0007 </a:t>
              </a:r>
              <a:endParaRPr lang="en-US" sz="1100" b="0" baseline="0">
                <a:ea typeface="Cambria Math" panose="02040503050406030204" pitchFamily="18" charset="0"/>
              </a:endParaRPr>
            </a:p>
            <a:p>
              <a:r>
                <a:rPr lang="ru-RU" sz="1100" baseline="0">
                  <a:solidFill>
                    <a:srgbClr val="00B050"/>
                  </a:solidFill>
                </a:rPr>
                <a:t>Что равняется 1 при заданной точности до 3 знака. </a:t>
              </a:r>
            </a:p>
          </xdr:txBody>
        </xdr:sp>
      </mc:Fallback>
    </mc:AlternateContent>
    <xdr:clientData/>
  </xdr:twoCellAnchor>
  <xdr:twoCellAnchor>
    <xdr:from>
      <xdr:col>13</xdr:col>
      <xdr:colOff>409575</xdr:colOff>
      <xdr:row>40</xdr:row>
      <xdr:rowOff>133350</xdr:rowOff>
    </xdr:from>
    <xdr:to>
      <xdr:col>18</xdr:col>
      <xdr:colOff>161925</xdr:colOff>
      <xdr:row>54</xdr:row>
      <xdr:rowOff>76200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FF977FF-F6E2-4C73-BFA0-6E796556C4CB}"/>
                </a:ext>
              </a:extLst>
            </xdr:cNvPr>
            <xdr:cNvSpPr txBox="1"/>
          </xdr:nvSpPr>
          <xdr:spPr>
            <a:xfrm>
              <a:off x="11125200" y="9315450"/>
              <a:ext cx="3057525" cy="2609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func>
                          <m:func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lg</m:t>
                            </m:r>
                          </m:fName>
                          <m:e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+1</m:t>
                                </m:r>
                              </m:e>
                            </m:d>
                          </m:e>
                        </m:func>
                      </m:den>
                    </m:f>
                  </m:oMath>
                </m:oMathPara>
              </a14:m>
              <a:endParaRPr lang="en-US" sz="110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=5</m:t>
                    </m:r>
                  </m:oMath>
                </m:oMathPara>
              </a14:m>
              <a:endParaRPr lang="en-US" sz="1100" b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𝜀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US" sz="1100" b="0"/>
            </a:p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Итерационный</a:t>
              </a:r>
              <a:r>
                <a:rPr lang="ru-RU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процесс:</a:t>
              </a:r>
              <a:endParaRPr lang="ru-RU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ru-RU">
                <a:effectLst/>
              </a:endParaRPr>
            </a:p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Условие</a:t>
              </a:r>
              <a:r>
                <a:rPr lang="ru-RU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остановки:</a:t>
              </a:r>
              <a:endParaRPr lang="ru-RU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&lt;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𝜀</m:t>
                    </m:r>
                  </m:oMath>
                </m:oMathPara>
              </a14:m>
              <a:endParaRPr lang="ru-RU">
                <a:effectLst/>
              </a:endParaRPr>
            </a:p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Полученный</a:t>
              </a:r>
              <a:r>
                <a:rPr lang="ru-RU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результат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</a:t>
              </a:r>
              <a:endParaRPr lang="ru-RU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=2.0589</m:t>
                    </m:r>
                  </m:oMath>
                </m:oMathPara>
              </a14:m>
              <a:endParaRPr lang="en-US" sz="1100" b="0"/>
            </a:p>
            <a:p>
              <a:r>
                <a:rPr lang="ru-RU" sz="1100" b="0"/>
                <a:t>Подставим</a:t>
              </a:r>
              <a:r>
                <a:rPr lang="ru-RU" sz="1100" b="0" baseline="0"/>
                <a:t> в исходное уравнение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latin typeface="Cambria Math" panose="02040503050406030204" pitchFamily="18" charset="0"/>
                      </a:rPr>
                      <m:t>2.0589∗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lg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2.0589+1</m:t>
                            </m:r>
                          </m:e>
                        </m:d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≈0.9997 </m:t>
                    </m:r>
                  </m:oMath>
                </m:oMathPara>
              </a14:m>
              <a:endParaRPr lang="en-US" sz="1100" b="0"/>
            </a:p>
            <a:p>
              <a:r>
                <a:rPr lang="ru-RU" sz="1100">
                  <a:solidFill>
                    <a:srgbClr val="00B050"/>
                  </a:solidFill>
                </a:rPr>
                <a:t>Что равняется 1 при заданной</a:t>
              </a:r>
              <a:r>
                <a:rPr lang="ru-RU" sz="1100" baseline="0">
                  <a:solidFill>
                    <a:srgbClr val="00B050"/>
                  </a:solidFill>
                </a:rPr>
                <a:t> точности</a:t>
              </a:r>
              <a:endParaRPr lang="ru-RU" sz="1100">
                <a:solidFill>
                  <a:srgbClr val="00B050"/>
                </a:solidFill>
              </a:endParaRP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FF977FF-F6E2-4C73-BFA0-6E796556C4CB}"/>
                </a:ext>
              </a:extLst>
            </xdr:cNvPr>
            <xdr:cNvSpPr txBox="1"/>
          </xdr:nvSpPr>
          <xdr:spPr>
            <a:xfrm>
              <a:off x="11125200" y="9315450"/>
              <a:ext cx="3057525" cy="26098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𝑔(𝑥)=1/lg⁡(𝑥+1) </a:t>
              </a:r>
              <a:endParaRPr lang="en-US" sz="1100"/>
            </a:p>
            <a:p>
              <a:r>
                <a:rPr lang="en-US" sz="1100" b="0" i="0">
                  <a:latin typeface="Cambria Math" panose="02040503050406030204" pitchFamily="18" charset="0"/>
                </a:rPr>
                <a:t>𝑥_0=5</a:t>
              </a:r>
              <a:endParaRPr lang="en-US" sz="1100" b="0"/>
            </a:p>
            <a:p>
              <a:r>
                <a:rPr lang="ru-RU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𝜀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=10^(−3)</a:t>
              </a:r>
              <a:endParaRPr lang="en-US" sz="1100" b="0"/>
            </a:p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Итерационный</a:t>
              </a:r>
              <a:r>
                <a:rPr lang="ru-RU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процесс:</a:t>
              </a:r>
              <a:endParaRPr lang="ru-RU">
                <a:effectLst/>
              </a:endParaRPr>
            </a:p>
            <a:p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𝑥_(𝑛+1)=𝑔(𝑥_𝑛 )</a:t>
              </a:r>
              <a:endParaRPr lang="ru-RU">
                <a:effectLst/>
              </a:endParaRPr>
            </a:p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Условие</a:t>
              </a:r>
              <a:r>
                <a:rPr lang="ru-RU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остановки:</a:t>
              </a:r>
              <a:endParaRPr lang="ru-RU">
                <a:effectLst/>
              </a:endParaRPr>
            </a:p>
            <a:p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|𝑥_(𝑛+1)−𝑥_𝑛 |&lt;𝜀</a:t>
              </a:r>
              <a:endParaRPr lang="ru-RU">
                <a:effectLst/>
              </a:endParaRPr>
            </a:p>
            <a:p>
              <a:r>
                <a:rPr lang="ru-RU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Полученный</a:t>
              </a:r>
              <a:r>
                <a:rPr lang="ru-RU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результат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:</a:t>
              </a:r>
              <a:endParaRPr lang="ru-RU">
                <a:effectLst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𝑥_0=2.0589</a:t>
              </a:r>
              <a:endParaRPr lang="en-US" sz="1100" b="0"/>
            </a:p>
            <a:p>
              <a:r>
                <a:rPr lang="ru-RU" sz="1100" b="0"/>
                <a:t>Подставим</a:t>
              </a:r>
              <a:r>
                <a:rPr lang="ru-RU" sz="1100" b="0" baseline="0"/>
                <a:t> в исходное уравнение</a:t>
              </a:r>
            </a:p>
            <a:p>
              <a:r>
                <a:rPr lang="ru-RU" sz="1100" b="0" i="0">
                  <a:latin typeface="Cambria Math" panose="02040503050406030204" pitchFamily="18" charset="0"/>
                </a:rPr>
                <a:t>2.0589∗</a:t>
              </a:r>
              <a:r>
                <a:rPr lang="en-US" sz="1100" b="0" i="0">
                  <a:latin typeface="Cambria Math" panose="02040503050406030204" pitchFamily="18" charset="0"/>
                </a:rPr>
                <a:t>lg⁡(2.0589+1)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≈0.9997 </a:t>
              </a:r>
              <a:endParaRPr lang="en-US" sz="1100" b="0"/>
            </a:p>
            <a:p>
              <a:r>
                <a:rPr lang="ru-RU" sz="1100">
                  <a:solidFill>
                    <a:srgbClr val="00B050"/>
                  </a:solidFill>
                </a:rPr>
                <a:t>Что равняется 1 при заданной</a:t>
              </a:r>
              <a:r>
                <a:rPr lang="ru-RU" sz="1100" baseline="0">
                  <a:solidFill>
                    <a:srgbClr val="00B050"/>
                  </a:solidFill>
                </a:rPr>
                <a:t> точности</a:t>
              </a:r>
              <a:endParaRPr lang="ru-RU" sz="1100">
                <a:solidFill>
                  <a:srgbClr val="00B050"/>
                </a:solidFill>
              </a:endParaRPr>
            </a:p>
          </xdr:txBody>
        </xdr:sp>
      </mc:Fallback>
    </mc:AlternateContent>
    <xdr:clientData/>
  </xdr:twoCellAnchor>
  <xdr:twoCellAnchor>
    <xdr:from>
      <xdr:col>19</xdr:col>
      <xdr:colOff>247650</xdr:colOff>
      <xdr:row>34</xdr:row>
      <xdr:rowOff>1247775</xdr:rowOff>
    </xdr:from>
    <xdr:to>
      <xdr:col>24</xdr:col>
      <xdr:colOff>542925</xdr:colOff>
      <xdr:row>68</xdr:row>
      <xdr:rowOff>142875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738A3B2-ACFB-4F66-9FF9-DDE7E9C46346}"/>
                </a:ext>
              </a:extLst>
            </xdr:cNvPr>
            <xdr:cNvSpPr txBox="1"/>
          </xdr:nvSpPr>
          <xdr:spPr>
            <a:xfrm>
              <a:off x="14878050" y="8115300"/>
              <a:ext cx="4610100" cy="65436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Проанализируем</a:t>
              </a:r>
              <a:r>
                <a:rPr lang="ru-RU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для интервала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[0</a:t>
              </a:r>
              <a:r>
                <a:rPr lang="ru-RU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ru-RU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]</a:t>
              </a:r>
              <a:endParaRPr lang="ru-RU" sz="11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func>
                          <m:func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lg</m:t>
                            </m:r>
                          </m:fName>
                          <m:e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+1</m:t>
                                </m:r>
                              </m:e>
                            </m:d>
                          </m:e>
                        </m:func>
                      </m:den>
                    </m:f>
                  </m:oMath>
                </m:oMathPara>
              </a14:m>
              <a:endParaRPr lang="ru-RU" sz="11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𝑔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𝑙𝑛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e>
                        </m:d>
                        <m:func>
                          <m:func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ln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fName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+1)</m:t>
                            </m:r>
                          </m:e>
                        </m:func>
                      </m:den>
                    </m:f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ru-RU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10(</m:t>
                        </m:r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ln</m:t>
                            </m:r>
                          </m:fName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+1</m:t>
                                </m:r>
                              </m:e>
                            </m:d>
                          </m:e>
                        </m:fun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+2)</m:t>
                        </m:r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+1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func>
                          <m:func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latin typeface="Cambria Math" panose="02040503050406030204" pitchFamily="18" charset="0"/>
                                  </a:rPr>
                                  <m:t>ln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fNam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+1)</m:t>
                            </m:r>
                          </m:e>
                        </m:func>
                      </m:den>
                    </m:f>
                  </m:oMath>
                </m:oMathPara>
              </a14:m>
              <a:endParaRPr lang="en-US" sz="1100"/>
            </a:p>
            <a:p>
              <a:r>
                <a:rPr lang="ru-RU" sz="1100"/>
                <a:t>Вторая производная положительная</a:t>
              </a:r>
              <a14:m>
                <m:oMath xmlns:m="http://schemas.openxmlformats.org/officeDocument/2006/math">
                  <m:r>
                    <a:rPr lang="ru-RU" sz="1100" b="0" i="1" baseline="0">
                      <a:latin typeface="Cambria Math" panose="02040503050406030204" pitchFamily="18" charset="0"/>
                    </a:rPr>
                    <m:t>,</m:t>
                  </m:r>
                </m:oMath>
              </a14:m>
              <a:r>
                <a:rPr lang="ru-RU" sz="1100"/>
                <a:t> значит,</a:t>
              </a:r>
              <a:r>
                <a:rPr lang="ru-RU" sz="1100" baseline="0"/>
                <a:t> максимальное значение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𝑔</m:t>
                  </m:r>
                  <m:r>
                    <a:rPr lang="en-US" sz="1100" b="0" i="1" baseline="0">
                      <a:latin typeface="Cambria Math" panose="02040503050406030204" pitchFamily="18" charset="0"/>
                    </a:rPr>
                    <m:t>′(</m:t>
                  </m:r>
                  <m:r>
                    <a:rPr lang="en-US" sz="1100" b="0" i="1" baseline="0">
                      <a:latin typeface="Cambria Math" panose="02040503050406030204" pitchFamily="18" charset="0"/>
                    </a:rPr>
                    <m:t>𝑥</m:t>
                  </m:r>
                  <m:r>
                    <a:rPr lang="en-US" sz="1100" b="0" i="1" baseline="0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US" sz="1100"/>
                <a:t> </a:t>
              </a:r>
              <a:r>
                <a:rPr lang="ru-RU" sz="1100"/>
                <a:t>будет</a:t>
              </a:r>
              <a:r>
                <a:rPr lang="ru-RU" sz="1100" baseline="0"/>
                <a:t> в точки 10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10</m:t>
                        </m:r>
                      </m:e>
                    </m:d>
                    <m:r>
                      <a:rPr lang="en-US" b="0" i="1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≈0.03</m:t>
                    </m:r>
                  </m:oMath>
                </m:oMathPara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>
                  <a:effectLst/>
                </a:rPr>
                <a:t>Из этого</a:t>
              </a:r>
              <a:r>
                <a:rPr lang="ru-RU" baseline="0">
                  <a:effectLst/>
                </a:rPr>
                <a:t> следует, что: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  <m:sup>
                            <m: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d>
                          <m:dPr>
                            <m:ctrlP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d>
                    <m:r>
                      <a:rPr lang="en-US" b="0" i="1">
                        <a:effectLst/>
                        <a:latin typeface="Cambria Math" panose="02040503050406030204" pitchFamily="18" charset="0"/>
                      </a:rPr>
                      <m:t>&lt;1</m:t>
                    </m:r>
                    <m:r>
                      <a:rPr lang="ru-RU" b="0" i="1">
                        <a:effectLst/>
                        <a:latin typeface="Cambria Math" panose="02040503050406030204" pitchFamily="18" charset="0"/>
                      </a:rPr>
                      <m:t> на интервале </m:t>
                    </m:r>
                    <m:r>
                      <a:rPr lang="en-US" b="0" i="1">
                        <a:effectLst/>
                        <a:latin typeface="Cambria Math" panose="02040503050406030204" pitchFamily="18" charset="0"/>
                      </a:rPr>
                      <m:t>[0;10]</m:t>
                    </m:r>
                  </m:oMath>
                </m:oMathPara>
              </a14:m>
              <a:endParaRPr lang="en-US" b="0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i="1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⟹</m:t>
                    </m:r>
                    <m:r>
                      <a:rPr lang="ru-RU" b="0" i="1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достаточные условия выполнены для этой функции на </m:t>
                    </m:r>
                    <m:r>
                      <a:rPr lang="en-US" b="0" i="1"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[0;10]</m:t>
                    </m:r>
                  </m:oMath>
                </m:oMathPara>
              </a14:m>
              <a:endParaRPr lang="en-US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>
                <a:effectLst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b="1">
                  <a:effectLst/>
                </a:rPr>
                <a:t>Проанализируем</a:t>
              </a:r>
              <a:r>
                <a:rPr lang="ru-RU" b="1" baseline="0">
                  <a:effectLst/>
                </a:rPr>
                <a:t> для интервала </a:t>
              </a:r>
              <a:r>
                <a:rPr lang="en-US" b="1" baseline="0">
                  <a:effectLst/>
                </a:rPr>
                <a:t>(-1;0]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 b="1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</m:e>
                      <m:sup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den>
                        </m:f>
                      </m:sup>
                    </m:sSup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−1 </m:t>
                    </m:r>
                  </m:oMath>
                </m:oMathPara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𝑔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=−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10</m:t>
                            </m:r>
                          </m:e>
                          <m:sup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</m:sup>
                        </m:s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𝑙𝑛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</m:num>
                      <m:den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′′</m:t>
                        </m:r>
                      </m:sup>
                    </m:sSup>
                    <m:d>
                      <m:dPr>
                        <m:ctrlP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b="0" i="1">
                        <a:effectLst/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f>
                              <m:fPr>
                                <m:ctrlP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den>
                            </m:f>
                          </m:sup>
                        </m:sSup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10 ∗(2</m:t>
                        </m:r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10)</m:t>
                        </m:r>
                      </m:num>
                      <m:den>
                        <m:sSup>
                          <m:sSupPr>
                            <m:ctrlP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func>
                    <m:funcPr>
                      <m:ctrlPr>
                        <a:rPr lang="en-US" b="0" i="1">
                          <a:effectLst/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US" b="0" i="0">
                          <a:effectLst/>
                          <a:latin typeface="Cambria Math" panose="02040503050406030204" pitchFamily="18" charset="0"/>
                        </a:rPr>
                        <m:t>ln</m:t>
                      </m:r>
                    </m:fName>
                    <m:e>
                      <m:r>
                        <a:rPr lang="en-US" b="0" i="1">
                          <a:effectLst/>
                          <a:latin typeface="Cambria Math" panose="02040503050406030204" pitchFamily="18" charset="0"/>
                        </a:rPr>
                        <m:t>10 </m:t>
                      </m:r>
                      <m:r>
                        <a:rPr lang="en-US" b="0" i="1"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≈2.3&gt;2</m:t>
                      </m:r>
                    </m:e>
                  </m:func>
                </m:oMath>
              </a14:m>
              <a:r>
                <a:rPr lang="ru-RU">
                  <a:effectLst/>
                </a:rPr>
                <a:t> тогда</a:t>
              </a:r>
              <a:r>
                <a:rPr lang="ru-RU" baseline="0">
                  <a:effectLst/>
                </a:rPr>
                <a:t> вторая производная положительная - значит, </a:t>
              </a:r>
              <a14:m>
                <m:oMath xmlns:m="http://schemas.openxmlformats.org/officeDocument/2006/math">
                  <m:r>
                    <a:rPr lang="en-US" b="0" i="1" baseline="0">
                      <a:effectLst/>
                      <a:latin typeface="Cambria Math" panose="02040503050406030204" pitchFamily="18" charset="0"/>
                    </a:rPr>
                    <m:t>𝑔</m:t>
                  </m:r>
                  <m:r>
                    <a:rPr lang="en-US" b="0" i="1" baseline="0">
                      <a:effectLst/>
                      <a:latin typeface="Cambria Math" panose="02040503050406030204" pitchFamily="18" charset="0"/>
                    </a:rPr>
                    <m:t>′</m:t>
                  </m:r>
                  <m:d>
                    <m:dPr>
                      <m:ctrlPr>
                        <a:rPr lang="en-US" b="0" i="1" baseline="0">
                          <a:effectLst/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b="0" i="1" baseline="0">
                          <a:effectLst/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</m:oMath>
              </a14:m>
              <a:r>
                <a:rPr lang="en-US">
                  <a:effectLst/>
                </a:rPr>
                <a:t> </a:t>
              </a:r>
              <a:r>
                <a:rPr lang="ru-RU">
                  <a:effectLst/>
                </a:rPr>
                <a:t>достигает</a:t>
              </a:r>
              <a:r>
                <a:rPr lang="ru-RU" baseline="0">
                  <a:effectLst/>
                </a:rPr>
                <a:t> максимума в точке 0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b="0" i="0">
                                <a:effectLst/>
                                <a:latin typeface="Cambria Math" panose="02040503050406030204" pitchFamily="18" charset="0"/>
                              </a:rPr>
                              <m:t>lim</m:t>
                            </m:r>
                          </m:e>
                          <m:lim>
                            <m:d>
                              <m:dPr>
                                <m:begChr m:val="{"/>
                                <m:endChr m:val="}"/>
                                <m:ctrlP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  <m:t>→−0</m:t>
                                </m:r>
                              </m:e>
                            </m:d>
                          </m:lim>
                        </m:limLow>
                      </m:fName>
                      <m:e>
                        <m:r>
                          <a:rPr lang="en-US" b="0" i="1">
                            <a:effectLst/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e>
                              <m:sup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en-US" b="0" i="1">
                                        <a:effectLst/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US" b="0" i="1">
                                            <a:effectLst/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b="0" i="1">
                                            <a:effectLst/>
                                            <a:latin typeface="Cambria Math" panose="02040503050406030204" pitchFamily="18" charset="0"/>
                                          </a:rPr>
                                          <m:t>1</m:t>
                                        </m:r>
                                      </m:num>
                                      <m:den>
                                        <m:r>
                                          <a:rPr lang="en-US" b="0" i="1">
                                            <a:effectLst/>
                                            <a:latin typeface="Cambria Math" panose="02040503050406030204" pitchFamily="18" charset="0"/>
                                          </a:rPr>
                                          <m:t>−0</m:t>
                                        </m:r>
                                      </m:den>
                                    </m:f>
                                  </m:e>
                                </m:d>
                              </m:sup>
                            </m:sSup>
                            <m:r>
                              <a:rPr lang="ru-RU" b="0" i="1">
                                <a:effectLst/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  <m:t>∗</m:t>
                            </m:r>
                            <m:func>
                              <m:funcPr>
                                <m:ctrlP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b="0" i="0">
                                    <a:effectLst/>
                                    <a:latin typeface="Cambria Math" panose="02040503050406030204" pitchFamily="18" charset="0"/>
                                  </a:rPr>
                                  <m:t>ln</m:t>
                                </m:r>
                              </m:fName>
                              <m:e>
                                <m:r>
                                  <a:rPr lang="en-US" b="0" i="1">
                                    <a:effectLst/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e>
                            </m:func>
                          </m:num>
                          <m:den>
                            <m:r>
                              <a:rPr lang="en-US" b="0" i="1">
                                <a:effectLst/>
                                <a:latin typeface="Cambria Math" panose="02040503050406030204" pitchFamily="18" charset="0"/>
                              </a:rPr>
                              <m:t>0^2</m:t>
                            </m:r>
                          </m:den>
                        </m:f>
                      </m:e>
                    </m:func>
                    <m:r>
                      <a:rPr lang="ru-RU" b="0" i="1">
                        <a:effectLst/>
                        <a:latin typeface="Cambria Math" panose="02040503050406030204" pitchFamily="18" charset="0"/>
                      </a:rPr>
                      <m:t>→</m:t>
                    </m:r>
                    <m:r>
                      <a:rPr lang="en-US" b="0" i="1">
                        <a:effectLst/>
                        <a:latin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en-US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>
                  <a:effectLst/>
                </a:rPr>
                <a:t>Тогда </a:t>
              </a:r>
            </a:p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𝑔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d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&lt;1</m:t>
                    </m:r>
                    <m:r>
                      <a:rPr lang="ru-RU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на интервале </m:t>
                    </m:r>
                    <m:r>
                      <a:rPr lang="ru-RU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(−1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;0]</m:t>
                    </m:r>
                  </m:oMath>
                </m:oMathPara>
              </a14:m>
              <a:endParaRPr lang="ru-RU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⟹</m:t>
                    </m:r>
                    <m:r>
                      <a:rPr lang="ru-RU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достаточные условия выполнены для этой функции на </m:t>
                    </m:r>
                    <m:r>
                      <a:rPr lang="ru-RU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(−1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;0]</m:t>
                    </m:r>
                  </m:oMath>
                </m:oMathPara>
              </a14:m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738A3B2-ACFB-4F66-9FF9-DDE7E9C46346}"/>
                </a:ext>
              </a:extLst>
            </xdr:cNvPr>
            <xdr:cNvSpPr txBox="1"/>
          </xdr:nvSpPr>
          <xdr:spPr>
            <a:xfrm>
              <a:off x="14878050" y="8115300"/>
              <a:ext cx="4610100" cy="654367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Проанализируем</a:t>
              </a:r>
              <a:r>
                <a:rPr lang="ru-RU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для интервала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[0</a:t>
              </a:r>
              <a:r>
                <a:rPr lang="ru-RU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ru-RU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]</a:t>
              </a:r>
              <a:endParaRPr lang="ru-RU" sz="11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𝑔(𝑥)=1/lg⁡(𝑥+1) </a:t>
              </a:r>
              <a:endParaRPr lang="ru-RU" sz="1100" b="1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𝑔^′ (𝑥)=−𝑙𝑛10/((𝑥+1)  ln^2⁡〖(𝑥+1)〗 )  </a:t>
              </a:r>
              <a:endParaRPr lang="ru-RU">
                <a:effectLst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𝑔^′′ (𝑥)=  (𝑙𝑛10(ln⁡(𝑥+1)+2))/((𝑥+1)^2  ln^3⁡〖(𝑥+1)〗 )</a:t>
              </a:r>
              <a:endParaRPr lang="en-US" sz="1100"/>
            </a:p>
            <a:p>
              <a:r>
                <a:rPr lang="ru-RU" sz="1100"/>
                <a:t>Вторая производная положительная</a:t>
              </a:r>
              <a:r>
                <a:rPr lang="ru-RU" sz="1100" b="0" i="0" baseline="0">
                  <a:latin typeface="Cambria Math" panose="02040503050406030204" pitchFamily="18" charset="0"/>
                </a:rPr>
                <a:t>,</a:t>
              </a:r>
              <a:r>
                <a:rPr lang="ru-RU" sz="1100"/>
                <a:t> значит,</a:t>
              </a:r>
              <a:r>
                <a:rPr lang="ru-RU" sz="1100" baseline="0"/>
                <a:t> максимальное значение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𝑔′(𝑥)</a:t>
              </a:r>
              <a:r>
                <a:rPr lang="en-US" sz="1100"/>
                <a:t> </a:t>
              </a:r>
              <a:r>
                <a:rPr lang="ru-RU" sz="1100"/>
                <a:t>будет</a:t>
              </a:r>
              <a:r>
                <a:rPr lang="ru-RU" sz="1100" baseline="0"/>
                <a:t> в точки 10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b="0" i="0">
                  <a:effectLst/>
                  <a:latin typeface="Cambria Math" panose="02040503050406030204" pitchFamily="18" charset="0"/>
                </a:rPr>
                <a:t>𝑔^′ (10)</a:t>
              </a:r>
              <a:r>
                <a:rPr lang="en-US" b="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≈0.03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>
                  <a:effectLst/>
                </a:rPr>
                <a:t>Из этого</a:t>
              </a:r>
              <a:r>
                <a:rPr lang="ru-RU" baseline="0">
                  <a:effectLst/>
                </a:rPr>
                <a:t> следует, что: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b="0" i="0">
                  <a:effectLst/>
                  <a:latin typeface="Cambria Math" panose="02040503050406030204" pitchFamily="18" charset="0"/>
                </a:rPr>
                <a:t>|𝑔^′ (𝑥)|&lt;1</a:t>
              </a:r>
              <a:r>
                <a:rPr lang="ru-RU" b="0" i="0">
                  <a:effectLst/>
                  <a:latin typeface="Cambria Math" panose="02040503050406030204" pitchFamily="18" charset="0"/>
                </a:rPr>
                <a:t> на интервале </a:t>
              </a:r>
              <a:r>
                <a:rPr lang="en-US" b="0" i="0">
                  <a:effectLst/>
                  <a:latin typeface="Cambria Math" panose="02040503050406030204" pitchFamily="18" charset="0"/>
                </a:rPr>
                <a:t>[0;10]</a:t>
              </a:r>
              <a:endParaRPr lang="en-US" b="0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⟹</a:t>
              </a:r>
              <a:r>
                <a:rPr lang="ru-RU" b="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достаточные условия выполнены для этой функции на </a:t>
              </a:r>
              <a:r>
                <a:rPr lang="en-US" b="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[0;10]</a:t>
              </a:r>
              <a:endParaRPr lang="en-US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US">
                <a:effectLst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 b="1">
                  <a:effectLst/>
                </a:rPr>
                <a:t>Проанализируем</a:t>
              </a:r>
              <a:r>
                <a:rPr lang="ru-RU" b="1" baseline="0">
                  <a:effectLst/>
                </a:rPr>
                <a:t> для интервала </a:t>
              </a:r>
              <a:r>
                <a:rPr lang="en-US" b="1" baseline="0">
                  <a:effectLst/>
                </a:rPr>
                <a:t>(-1;0]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 b="1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𝑔(𝑥)=10^(1/𝑥)  −1 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𝑔^′ (𝑥)=−(10^(1/𝑥)∗𝑙𝑛10)/𝑥^2 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b="0" i="0">
                  <a:effectLst/>
                  <a:latin typeface="Cambria Math" panose="02040503050406030204" pitchFamily="18" charset="0"/>
                </a:rPr>
                <a:t>𝑔^′′ (𝑥)=  (10^(1/𝑥)∗𝑙𝑛10 ∗(2𝑥+𝑙𝑛10))/𝑥^4 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b="0" i="0">
                  <a:effectLst/>
                  <a:latin typeface="Cambria Math" panose="02040503050406030204" pitchFamily="18" charset="0"/>
                </a:rPr>
                <a:t>ln⁡〖10 </a:t>
              </a:r>
              <a:r>
                <a:rPr lang="en-US" b="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≈2.3&gt;2〗</a:t>
              </a:r>
              <a:r>
                <a:rPr lang="ru-RU">
                  <a:effectLst/>
                </a:rPr>
                <a:t> тогда</a:t>
              </a:r>
              <a:r>
                <a:rPr lang="ru-RU" baseline="0">
                  <a:effectLst/>
                </a:rPr>
                <a:t> вторая производная положительная - значит, </a:t>
              </a:r>
              <a:r>
                <a:rPr lang="en-US" b="0" i="0" baseline="0">
                  <a:effectLst/>
                  <a:latin typeface="Cambria Math" panose="02040503050406030204" pitchFamily="18" charset="0"/>
                </a:rPr>
                <a:t>𝑔′(𝑥)</a:t>
              </a:r>
              <a:r>
                <a:rPr lang="en-US">
                  <a:effectLst/>
                </a:rPr>
                <a:t> </a:t>
              </a:r>
              <a:r>
                <a:rPr lang="ru-RU">
                  <a:effectLst/>
                </a:rPr>
                <a:t>достигает</a:t>
              </a:r>
              <a:r>
                <a:rPr lang="ru-RU" baseline="0">
                  <a:effectLst/>
                </a:rPr>
                <a:t> максимума в точке 0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b="0" i="0">
                  <a:effectLst/>
                  <a:latin typeface="Cambria Math" panose="02040503050406030204" pitchFamily="18" charset="0"/>
                </a:rPr>
                <a:t>lim_{𝑥→−0} ⁡〖−(10^{1/(−0)} </a:t>
              </a:r>
              <a:r>
                <a:rPr lang="ru-RU" b="0" i="0">
                  <a:effectLst/>
                  <a:latin typeface="Cambria Math" panose="02040503050406030204" pitchFamily="18" charset="0"/>
                </a:rPr>
                <a:t>  </a:t>
              </a:r>
              <a:r>
                <a:rPr lang="en-US" b="0" i="0">
                  <a:effectLst/>
                  <a:latin typeface="Cambria Math" panose="02040503050406030204" pitchFamily="18" charset="0"/>
                </a:rPr>
                <a:t>∗ln⁡10)/(0^2)〗</a:t>
              </a:r>
              <a:r>
                <a:rPr lang="ru-RU" b="0" i="0">
                  <a:effectLst/>
                  <a:latin typeface="Cambria Math" panose="02040503050406030204" pitchFamily="18" charset="0"/>
                </a:rPr>
                <a:t>→</a:t>
              </a:r>
              <a:r>
                <a:rPr lang="en-US" b="0" i="0">
                  <a:effectLst/>
                  <a:latin typeface="Cambria Math" panose="02040503050406030204" pitchFamily="18" charset="0"/>
                </a:rPr>
                <a:t>0</a:t>
              </a:r>
              <a:endParaRPr lang="en-US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ru-RU">
                  <a:effectLst/>
                </a:rPr>
                <a:t>Тогда </a:t>
              </a:r>
            </a:p>
            <a:p>
              <a:pPr eaLnBrk="1" fontAlgn="auto" latinLnBrk="0" hangingPunct="1"/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|𝑔^′ (𝑥)|&lt;1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на интервале 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(−1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;0]</a:t>
              </a:r>
              <a:endParaRPr lang="ru-RU">
                <a:effectLst/>
              </a:endParaRPr>
            </a:p>
            <a:p>
              <a:pPr eaLnBrk="1" fontAlgn="auto" latinLnBrk="0" hangingPunct="1"/>
              <a:r>
                <a:rPr lang="ru-RU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⟹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достаточные условия выполнены для этой функции на 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(−1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;0]</a:t>
              </a:r>
              <a:endParaRPr lang="ru-RU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ru-RU">
                <a:effectLst/>
              </a:endParaRPr>
            </a:p>
          </xdr:txBody>
        </xdr:sp>
      </mc:Fallback>
    </mc:AlternateContent>
    <xdr:clientData/>
  </xdr:twoCellAnchor>
  <xdr:twoCellAnchor>
    <xdr:from>
      <xdr:col>3</xdr:col>
      <xdr:colOff>76200</xdr:colOff>
      <xdr:row>1</xdr:row>
      <xdr:rowOff>142874</xdr:rowOff>
    </xdr:from>
    <xdr:to>
      <xdr:col>11</xdr:col>
      <xdr:colOff>314325</xdr:colOff>
      <xdr:row>24</xdr:row>
      <xdr:rowOff>114299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6094A076-0E40-4213-9E4B-2BC8D06E6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0</xdr:row>
      <xdr:rowOff>190500</xdr:rowOff>
    </xdr:from>
    <xdr:to>
      <xdr:col>18</xdr:col>
      <xdr:colOff>523875</xdr:colOff>
      <xdr:row>2</xdr:row>
      <xdr:rowOff>57150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502739A-DFC4-46FF-84CB-8400833D61B6}"/>
                </a:ext>
              </a:extLst>
            </xdr:cNvPr>
            <xdr:cNvSpPr txBox="1"/>
          </xdr:nvSpPr>
          <xdr:spPr>
            <a:xfrm>
              <a:off x="8181975" y="190500"/>
              <a:ext cx="4238625" cy="3143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1.</a:t>
              </a:r>
              <a:r>
                <a:rPr lang="ru-RU" sz="1100" baseline="0"/>
                <a:t> Разбиваем функцию на промежутки </a:t>
              </a:r>
              <a14:m>
                <m:oMath xmlns:m="http://schemas.openxmlformats.org/officeDocument/2006/math">
                  <m:d>
                    <m:dPr>
                      <m:endChr m:val="]"/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−1;0</m:t>
                      </m:r>
                    </m:e>
                  </m:d>
                  <m:r>
                    <a:rPr lang="ru-RU" sz="1100" b="0" i="1" baseline="0">
                      <a:latin typeface="Cambria Math" panose="02040503050406030204" pitchFamily="18" charset="0"/>
                    </a:rPr>
                    <m:t>и </m:t>
                  </m:r>
                  <m:d>
                    <m:dPr>
                      <m:begChr m:val="["/>
                      <m:endChr m:val="]"/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0;10</m:t>
                      </m:r>
                    </m:e>
                  </m:d>
                </m:oMath>
              </a14:m>
              <a:endParaRPr lang="ru-RU" sz="1100" b="0" baseline="0"/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502739A-DFC4-46FF-84CB-8400833D61B6}"/>
                </a:ext>
              </a:extLst>
            </xdr:cNvPr>
            <xdr:cNvSpPr txBox="1"/>
          </xdr:nvSpPr>
          <xdr:spPr>
            <a:xfrm>
              <a:off x="8181975" y="190500"/>
              <a:ext cx="4238625" cy="3143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1.</a:t>
              </a:r>
              <a:r>
                <a:rPr lang="ru-RU" sz="1100" baseline="0"/>
                <a:t> Разбиваем функцию на промежутки </a:t>
              </a:r>
              <a:r>
                <a:rPr lang="en-US" sz="1100" b="0" i="0" baseline="0">
                  <a:latin typeface="Cambria Math" panose="02040503050406030204" pitchFamily="18" charset="0"/>
                </a:rPr>
                <a:t>(−1;0]</a:t>
              </a:r>
              <a:r>
                <a:rPr lang="ru-RU" sz="1100" b="0" i="0" baseline="0">
                  <a:latin typeface="Cambria Math" panose="02040503050406030204" pitchFamily="18" charset="0"/>
                </a:rPr>
                <a:t>и </a:t>
              </a:r>
              <a:r>
                <a:rPr lang="en-US" sz="1100" b="0" i="0" baseline="0">
                  <a:latin typeface="Cambria Math" panose="02040503050406030204" pitchFamily="18" charset="0"/>
                </a:rPr>
                <a:t>[0;10]</a:t>
              </a:r>
              <a:endParaRPr lang="ru-RU" sz="1100" b="0" baseline="0"/>
            </a:p>
            <a:p>
              <a:endParaRPr lang="ru-RU" sz="1100"/>
            </a:p>
          </xdr:txBody>
        </xdr:sp>
      </mc:Fallback>
    </mc:AlternateContent>
    <xdr:clientData/>
  </xdr:twoCellAnchor>
  <xdr:twoCellAnchor>
    <xdr:from>
      <xdr:col>2</xdr:col>
      <xdr:colOff>647700</xdr:colOff>
      <xdr:row>39</xdr:row>
      <xdr:rowOff>114300</xdr:rowOff>
    </xdr:from>
    <xdr:to>
      <xdr:col>10</xdr:col>
      <xdr:colOff>238126</xdr:colOff>
      <xdr:row>58</xdr:row>
      <xdr:rowOff>47625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A3FA4F0-ED48-4E1E-B4D4-D2601F284FBE}"/>
                </a:ext>
              </a:extLst>
            </xdr:cNvPr>
            <xdr:cNvSpPr txBox="1"/>
          </xdr:nvSpPr>
          <xdr:spPr>
            <a:xfrm>
              <a:off x="2238375" y="7924800"/>
              <a:ext cx="5324476" cy="35528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1.</a:t>
              </a:r>
              <a:r>
                <a:rPr lang="en-US" sz="1100" baseline="0"/>
                <a:t>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n-US" sz="1100" b="0" i="1" baseline="0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 baseline="0">
                      <a:latin typeface="Cambria Math" panose="02040503050406030204" pitchFamily="18" charset="0"/>
                    </a:rPr>
                    <m:t>𝑥</m:t>
                  </m:r>
                  <m:r>
                    <a:rPr lang="en-US" sz="1100" b="0" i="1" baseline="0">
                      <a:latin typeface="Cambria Math" panose="02040503050406030204" pitchFamily="18" charset="0"/>
                    </a:rPr>
                    <m:t>∗</m:t>
                  </m:r>
                  <m:func>
                    <m:func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US" sz="1100" b="0" i="0" baseline="0">
                          <a:latin typeface="Cambria Math" panose="02040503050406030204" pitchFamily="18" charset="0"/>
                        </a:rPr>
                        <m:t>lg</m:t>
                      </m:r>
                    </m:fName>
                    <m:e>
                      <m:d>
                        <m:d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𝑥</m:t>
                          </m:r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+1</m:t>
                          </m:r>
                        </m:e>
                      </m:d>
                    </m:e>
                  </m:func>
                  <m:r>
                    <a:rPr lang="en-US" sz="1100" b="0" i="1" baseline="0">
                      <a:latin typeface="Cambria Math" panose="02040503050406030204" pitchFamily="18" charset="0"/>
                    </a:rPr>
                    <m:t>−1</m:t>
                  </m:r>
                </m:oMath>
              </a14:m>
              <a:endParaRPr lang="en-US" sz="1100" b="0" baseline="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lg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</m:oMath>
                </m:oMathPara>
              </a14:m>
              <a:endParaRPr lang="en-US" sz="1100"/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′′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+1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b="0"/>
            </a:p>
            <a:p>
              <a:endParaRPr lang="en-US" sz="1100"/>
            </a:p>
            <a:p>
              <a:r>
                <a:rPr lang="en-US" sz="1100"/>
                <a:t>2.</a:t>
              </a:r>
              <a:r>
                <a:rPr lang="en-US" sz="1100" baseline="0"/>
                <a:t> </a:t>
              </a:r>
              <a:r>
                <a:rPr lang="ru-RU" sz="1100" baseline="0"/>
                <a:t>Выберем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ru-RU" sz="1100" b="0" i="1" baseline="0">
                      <a:latin typeface="Cambria Math" panose="02040503050406030204" pitchFamily="18" charset="0"/>
                    </a:rPr>
                    <m:t>=</m:t>
                  </m:r>
                  <m:r>
                    <a:rPr lang="en-US" sz="1100" b="0" i="1" baseline="0">
                      <a:latin typeface="Cambria Math" panose="02040503050406030204" pitchFamily="18" charset="0"/>
                    </a:rPr>
                    <m:t>−</m:t>
                  </m:r>
                  <m:r>
                    <a:rPr lang="ru-RU" sz="1100" b="0" i="1" baseline="0">
                      <a:latin typeface="Cambria Math" panose="02040503050406030204" pitchFamily="18" charset="0"/>
                    </a:rPr>
                    <m:t>0.999</m:t>
                  </m:r>
                </m:oMath>
              </a14:m>
              <a:endParaRPr lang="ru-RU" sz="1100" b="0" baseline="0"/>
            </a:p>
            <a:p>
              <a:r>
                <a:rPr lang="ru-RU" sz="1100"/>
                <a:t>3. Проверим, что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</m:e>
                  </m:d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𝑓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′′</m:t>
                      </m:r>
                    </m:sup>
                  </m:sSup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</m:e>
                  </m:d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≥0</m:t>
                  </m:r>
                </m:oMath>
              </a14:m>
              <a:endParaRPr lang="en-US" sz="1100" b="0">
                <a:ea typeface="Cambria Math" panose="02040503050406030204" pitchFamily="18" charset="0"/>
              </a:endParaRPr>
            </a:p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ru-RU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.999</m:t>
                      </m:r>
                    </m:e>
                  </m:d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𝑓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′′</m:t>
                      </m:r>
                    </m:sup>
                  </m:sSup>
                  <m:d>
                    <m:d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ru-RU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0.</m:t>
                      </m:r>
                      <m:r>
                        <a:rPr lang="ru-RU" sz="1100" b="0" i="1">
                          <a:latin typeface="Cambria Math" panose="02040503050406030204" pitchFamily="18" charset="0"/>
                        </a:rPr>
                        <m:t>999</m:t>
                      </m:r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=(−0.</m:t>
                  </m:r>
                  <m:r>
                    <a:rPr lang="ru-RU" sz="1100" b="0" i="1">
                      <a:latin typeface="Cambria Math" panose="02040503050406030204" pitchFamily="18" charset="0"/>
                    </a:rPr>
                    <m:t>999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𝑙𝑔</m:t>
                  </m:r>
                  <m:r>
                    <a:rPr lang="ru-RU" sz="1100" b="0" i="1">
                      <a:latin typeface="Cambria Math" panose="02040503050406030204" pitchFamily="18" charset="0"/>
                    </a:rPr>
                    <m:t>0.001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−1)</m:t>
                  </m:r>
                </m:oMath>
              </a14:m>
              <a:r>
                <a:rPr lang="en-US" sz="1100"/>
                <a:t>*(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1</m:t>
                      </m:r>
                    </m:num>
                    <m:den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0.</m:t>
                      </m:r>
                      <m:r>
                        <a:rPr lang="ru-RU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001</m:t>
                      </m:r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𝑙𝑛</m:t>
                      </m:r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10</m:t>
                      </m:r>
                    </m:den>
                  </m:f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+</m:t>
                  </m:r>
                  <m:f>
                    <m:f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1</m:t>
                      </m:r>
                    </m:num>
                    <m:den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𝑙𝑛</m:t>
                      </m:r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10</m:t>
                      </m:r>
                      <m:sSup>
                        <m:sSupPr>
                          <m:ctrlP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n-US" sz="1100" b="0" i="1">
                                  <a:solidFill>
                                    <a:schemeClr val="dk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r>
                                <a:rPr lang="en-US" sz="11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0.</m:t>
                              </m:r>
                              <m:r>
                                <a:rPr lang="ru-RU" sz="11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001</m:t>
                              </m:r>
                            </m:e>
                          </m:d>
                        </m:e>
                        <m:sup>
                          <m: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den>
                  </m:f>
                  <m:r>
                    <a:rPr lang="ru-RU" sz="11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  <m:r>
                    <a:rPr lang="ru-RU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≈</m:t>
                  </m:r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8.6∗</m:t>
                  </m:r>
                  <m:sSup>
                    <m:sSup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</m:ctrlPr>
                    </m:sSupPr>
                    <m:e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10</m:t>
                      </m:r>
                    </m:e>
                    <m:sup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Cambria Math" panose="02040503050406030204" pitchFamily="18" charset="0"/>
                          <a:cs typeface="+mn-cs"/>
                        </a:rPr>
                        <m:t>5</m:t>
                      </m:r>
                    </m:sup>
                  </m:sSup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&gt;0</m:t>
                  </m:r>
                </m:oMath>
              </a14:m>
              <a:endParaRPr lang="en-US" sz="1100" b="0">
                <a:solidFill>
                  <a:schemeClr val="dk1"/>
                </a:solidFill>
                <a:effectLst/>
                <a:ea typeface="Cambria Math" panose="02040503050406030204" pitchFamily="18" charset="0"/>
                <a:cs typeface="+mn-cs"/>
              </a:endParaRPr>
            </a:p>
            <a:p>
              <a:r>
                <a:rPr lang="en-US" sz="1100"/>
                <a:t>4.</a:t>
              </a:r>
              <a:r>
                <a:rPr lang="en-US" sz="1100" baseline="0"/>
                <a:t> </a:t>
              </a:r>
              <a:r>
                <a:rPr lang="ru-RU" sz="1100" baseline="0"/>
                <a:t>Итерационный процесс:</a:t>
              </a:r>
            </a:p>
            <a:p>
              <a:pPr algn="ctr"/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𝑛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−1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− 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(</m:t>
                      </m:r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−1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′(</m:t>
                      </m:r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𝑛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−1)</m:t>
                      </m:r>
                    </m:den>
                  </m:f>
                </m:oMath>
              </a14:m>
              <a:r>
                <a:rPr lang="en-US" sz="1100"/>
                <a:t> </a:t>
              </a:r>
            </a:p>
            <a:p>
              <a:pPr algn="l"/>
              <a:r>
                <a:rPr lang="en-US" sz="1100"/>
                <a:t>5.</a:t>
              </a:r>
              <a:r>
                <a:rPr lang="en-US" sz="1100" baseline="0"/>
                <a:t> </a:t>
              </a:r>
              <a:r>
                <a:rPr lang="ru-RU" sz="1100" baseline="0"/>
                <a:t>Условие окончания</a:t>
              </a:r>
            </a:p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&lt;</m:t>
                    </m:r>
                    <m:r>
                      <m:rPr>
                        <m:sty m:val="p"/>
                      </m:rPr>
                      <a:rPr lang="en-US" sz="1100" b="0" i="1">
                        <a:latin typeface="Cambria Math" panose="02040503050406030204" pitchFamily="18" charset="0"/>
                      </a:rPr>
                      <m:t>ε</m:t>
                    </m:r>
                  </m:oMath>
                </m:oMathPara>
              </a14:m>
              <a:endParaRPr lang="en-US" sz="1100" b="0"/>
            </a:p>
            <a:p>
              <a:pPr algn="l"/>
              <a:r>
                <a:rPr lang="ru-RU" sz="1100"/>
                <a:t>6. Итоговое значение</a:t>
              </a:r>
            </a:p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=−0.9185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A3FA4F0-ED48-4E1E-B4D4-D2601F284FBE}"/>
                </a:ext>
              </a:extLst>
            </xdr:cNvPr>
            <xdr:cNvSpPr txBox="1"/>
          </xdr:nvSpPr>
          <xdr:spPr>
            <a:xfrm>
              <a:off x="2238375" y="7924800"/>
              <a:ext cx="5324476" cy="35528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1.</a:t>
              </a:r>
              <a:r>
                <a:rPr lang="en-US" sz="1100" baseline="0"/>
                <a:t>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𝑓(𝑥)=𝑥∗lg⁡(𝑥+1)−1</a:t>
              </a:r>
              <a:endParaRPr lang="en-US" sz="1100" b="0" baseline="0"/>
            </a:p>
            <a:p>
              <a:r>
                <a:rPr lang="en-US" sz="1100" b="0" i="0">
                  <a:latin typeface="Cambria Math" panose="02040503050406030204" pitchFamily="18" charset="0"/>
                </a:rPr>
                <a:t>𝑓^′ (𝑥)=lg⁡(𝑥+1)+𝑥/(𝑥+1)𝑙𝑛10</a:t>
              </a:r>
              <a:endParaRPr lang="en-US" sz="1100"/>
            </a:p>
            <a:p>
              <a:r>
                <a:rPr lang="en-US" sz="1100" b="0" i="0">
                  <a:latin typeface="Cambria Math" panose="02040503050406030204" pitchFamily="18" charset="0"/>
                </a:rPr>
                <a:t>𝑓^′′ (𝑥)=  1/(𝑥+1)𝑙𝑛10+1/(𝑙𝑛10(𝑥+1)^2 )</a:t>
              </a:r>
              <a:endParaRPr lang="en-US" sz="1100" b="0"/>
            </a:p>
            <a:p>
              <a:endParaRPr lang="en-US" sz="1100"/>
            </a:p>
            <a:p>
              <a:r>
                <a:rPr lang="en-US" sz="1100"/>
                <a:t>2.</a:t>
              </a:r>
              <a:r>
                <a:rPr lang="en-US" sz="1100" baseline="0"/>
                <a:t> </a:t>
              </a:r>
              <a:r>
                <a:rPr lang="ru-RU" sz="1100" baseline="0"/>
                <a:t>Выберем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𝑥_0</a:t>
              </a:r>
              <a:r>
                <a:rPr lang="ru-RU" sz="1100" b="0" i="0" baseline="0">
                  <a:latin typeface="Cambria Math" panose="02040503050406030204" pitchFamily="18" charset="0"/>
                </a:rPr>
                <a:t>=</a:t>
              </a:r>
              <a:r>
                <a:rPr lang="en-US" sz="1100" b="0" i="0" baseline="0">
                  <a:latin typeface="Cambria Math" panose="02040503050406030204" pitchFamily="18" charset="0"/>
                </a:rPr>
                <a:t>−</a:t>
              </a:r>
              <a:r>
                <a:rPr lang="ru-RU" sz="1100" b="0" i="0" baseline="0">
                  <a:latin typeface="Cambria Math" panose="02040503050406030204" pitchFamily="18" charset="0"/>
                </a:rPr>
                <a:t>0.999</a:t>
              </a:r>
              <a:endParaRPr lang="ru-RU" sz="1100" b="0" baseline="0"/>
            </a:p>
            <a:p>
              <a:r>
                <a:rPr lang="ru-RU" sz="1100"/>
                <a:t>3. Проверим, что </a:t>
              </a:r>
              <a:r>
                <a:rPr lang="en-US" sz="1100" b="0" i="0">
                  <a:latin typeface="Cambria Math" panose="02040503050406030204" pitchFamily="18" charset="0"/>
                </a:rPr>
                <a:t>𝑓(𝑥_0 ) 𝑓^′′ (𝑥_0 )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</a:t>
              </a:r>
              <a:endParaRPr lang="en-US" sz="1100" b="0">
                <a:ea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𝑓(</a:t>
              </a:r>
              <a:r>
                <a:rPr lang="ru-RU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r>
                <a:rPr lang="ru-RU" sz="1100" b="0" i="0">
                  <a:latin typeface="Cambria Math" panose="02040503050406030204" pitchFamily="18" charset="0"/>
                </a:rPr>
                <a:t>.999</a:t>
              </a:r>
              <a:r>
                <a:rPr lang="en-US" sz="1100" b="0" i="0">
                  <a:latin typeface="Cambria Math" panose="02040503050406030204" pitchFamily="18" charset="0"/>
                </a:rPr>
                <a:t>) 𝑓^′′ (</a:t>
              </a:r>
              <a:r>
                <a:rPr lang="ru-RU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Cambria Math" panose="02040503050406030204" pitchFamily="18" charset="0"/>
                </a:rPr>
                <a:t>0.</a:t>
              </a:r>
              <a:r>
                <a:rPr lang="ru-RU" sz="1100" b="0" i="0">
                  <a:latin typeface="Cambria Math" panose="02040503050406030204" pitchFamily="18" charset="0"/>
                </a:rPr>
                <a:t>999</a:t>
              </a:r>
              <a:r>
                <a:rPr lang="en-US" sz="1100" b="0" i="0">
                  <a:latin typeface="Cambria Math" panose="02040503050406030204" pitchFamily="18" charset="0"/>
                </a:rPr>
                <a:t>)=(−0.</a:t>
              </a:r>
              <a:r>
                <a:rPr lang="ru-RU" sz="1100" b="0" i="0">
                  <a:latin typeface="Cambria Math" panose="02040503050406030204" pitchFamily="18" charset="0"/>
                </a:rPr>
                <a:t>999</a:t>
              </a:r>
              <a:r>
                <a:rPr lang="en-US" sz="1100" b="0" i="0">
                  <a:latin typeface="Cambria Math" panose="02040503050406030204" pitchFamily="18" charset="0"/>
                </a:rPr>
                <a:t>∗𝑙𝑔</a:t>
              </a:r>
              <a:r>
                <a:rPr lang="ru-RU" sz="1100" b="0" i="0">
                  <a:latin typeface="Cambria Math" panose="02040503050406030204" pitchFamily="18" charset="0"/>
                </a:rPr>
                <a:t>0.001</a:t>
              </a:r>
              <a:r>
                <a:rPr lang="en-US" sz="1100" b="0" i="0">
                  <a:latin typeface="Cambria Math" panose="02040503050406030204" pitchFamily="18" charset="0"/>
                </a:rPr>
                <a:t>−1)</a:t>
              </a:r>
              <a:r>
                <a:rPr lang="en-US" sz="1100"/>
                <a:t>*(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1/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001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𝑙𝑛10+1/(𝑙𝑛10(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001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)^2 )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≈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8.6∗10^5&gt;0</a:t>
              </a:r>
              <a:endParaRPr lang="en-US" sz="1100" b="0">
                <a:solidFill>
                  <a:schemeClr val="dk1"/>
                </a:solidFill>
                <a:effectLst/>
                <a:ea typeface="Cambria Math" panose="02040503050406030204" pitchFamily="18" charset="0"/>
                <a:cs typeface="+mn-cs"/>
              </a:endParaRPr>
            </a:p>
            <a:p>
              <a:r>
                <a:rPr lang="en-US" sz="1100"/>
                <a:t>4.</a:t>
              </a:r>
              <a:r>
                <a:rPr lang="en-US" sz="1100" baseline="0"/>
                <a:t> </a:t>
              </a:r>
              <a:r>
                <a:rPr lang="ru-RU" sz="1100" baseline="0"/>
                <a:t>Итерационный процесс:</a:t>
              </a:r>
            </a:p>
            <a:p>
              <a:pPr algn="ctr"/>
              <a:r>
                <a:rPr lang="en-US" sz="1100" b="0" i="0">
                  <a:latin typeface="Cambria Math" panose="02040503050406030204" pitchFamily="18" charset="0"/>
                </a:rPr>
                <a:t>𝑥_𝑛=𝑥_(𝑛−1)−  (𝑓(𝑥_(𝑛−1)))/(𝑓′(𝑥_𝑛−1))</a:t>
              </a:r>
              <a:r>
                <a:rPr lang="en-US" sz="1100"/>
                <a:t> </a:t>
              </a:r>
            </a:p>
            <a:p>
              <a:pPr algn="l"/>
              <a:r>
                <a:rPr lang="en-US" sz="1100"/>
                <a:t>5.</a:t>
              </a:r>
              <a:r>
                <a:rPr lang="en-US" sz="1100" baseline="0"/>
                <a:t> </a:t>
              </a:r>
              <a:r>
                <a:rPr lang="ru-RU" sz="1100" baseline="0"/>
                <a:t>Условие окончания</a:t>
              </a:r>
            </a:p>
            <a:p>
              <a:pPr algn="l"/>
              <a:r>
                <a:rPr lang="en-US" sz="1100" b="0" i="0">
                  <a:latin typeface="Cambria Math" panose="02040503050406030204" pitchFamily="18" charset="0"/>
                </a:rPr>
                <a:t>|𝑥_(𝑛+1)−𝑥_𝑛 |&lt;ε</a:t>
              </a:r>
              <a:endParaRPr lang="en-US" sz="1100" b="0"/>
            </a:p>
            <a:p>
              <a:pPr algn="l"/>
              <a:r>
                <a:rPr lang="ru-RU" sz="1100"/>
                <a:t>6. Итоговое значение</a:t>
              </a:r>
            </a:p>
            <a:p>
              <a:pPr algn="l"/>
              <a:r>
                <a:rPr lang="en-US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𝑥_0=−0.9185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11</xdr:col>
      <xdr:colOff>238125</xdr:colOff>
      <xdr:row>40</xdr:row>
      <xdr:rowOff>152400</xdr:rowOff>
    </xdr:from>
    <xdr:to>
      <xdr:col>18</xdr:col>
      <xdr:colOff>523875</xdr:colOff>
      <xdr:row>55</xdr:row>
      <xdr:rowOff>123825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8A5BC17-984B-4C4A-ABE9-C0619181F809}"/>
                </a:ext>
              </a:extLst>
            </xdr:cNvPr>
            <xdr:cNvSpPr txBox="1"/>
          </xdr:nvSpPr>
          <xdr:spPr>
            <a:xfrm>
              <a:off x="8172450" y="8153400"/>
              <a:ext cx="4552950" cy="28289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a:rPr lang="en-US" sz="1100" b="0" i="1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𝑥</m:t>
                      </m:r>
                    </m:e>
                  </m:d>
                  <m:r>
                    <a:rPr lang="en-US" sz="1100" b="0" i="1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=</m:t>
                  </m:r>
                  <m:r>
                    <a:rPr lang="en-US" sz="1100" b="0" i="1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𝑥</m:t>
                  </m:r>
                  <m:r>
                    <a:rPr lang="en-US" sz="1100" b="0" i="1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∗</m:t>
                  </m:r>
                  <m:func>
                    <m:funcPr>
                      <m:ctrlPr>
                        <a:rPr lang="en-US" sz="1100" b="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n-US" sz="1100" b="0" i="0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lg</m:t>
                      </m:r>
                    </m:fName>
                    <m:e>
                      <m:d>
                        <m:dPr>
                          <m:ctrlPr>
                            <a:rPr lang="en-US" sz="1100" b="0" i="1" baseline="0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r>
                            <a:rPr lang="en-US" sz="1100" b="0" i="1" baseline="0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𝑥</m:t>
                          </m:r>
                          <m:r>
                            <a:rPr lang="en-US" sz="1100" b="0" i="1" baseline="0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+1</m:t>
                          </m:r>
                        </m:e>
                      </m:d>
                    </m:e>
                  </m:func>
                  <m:r>
                    <a:rPr lang="en-US" sz="1100" b="0" i="1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−1</m:t>
                  </m:r>
                </m:oMath>
              </a14:m>
              <a:endParaRPr lang="ru-RU">
                <a:effectLst/>
              </a:endParaRPr>
            </a:p>
            <a:p>
              <a:r>
                <a:rPr lang="ru-RU" sz="1100"/>
                <a:t>2. Выберем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=4</m:t>
                  </m:r>
                </m:oMath>
              </a14:m>
              <a:endParaRPr lang="en-US" sz="1100" b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/>
                <a:t>3.</a:t>
              </a:r>
              <a:r>
                <a:rPr lang="en-US" sz="1100" baseline="0"/>
                <a:t> </a:t>
              </a:r>
              <a:r>
                <a:rPr lang="ru-RU" sz="1100" baseline="0"/>
                <a:t>Проверим, что </a:t>
              </a:r>
              <a14:m>
                <m:oMath xmlns:m="http://schemas.openxmlformats.org/officeDocument/2006/math"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𝑓</m:t>
                  </m:r>
                  <m:d>
                    <m:d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</m:e>
                  </m:d>
                  <m:sSup>
                    <m:sSup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𝑓</m:t>
                      </m:r>
                    </m:e>
                    <m:sup>
                      <m: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′′</m:t>
                      </m:r>
                    </m:sup>
                  </m:sSup>
                  <m:d>
                    <m:dPr>
                      <m:ctrlPr>
                        <a:rPr lang="en-US" sz="1100" b="0" i="1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𝑥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dk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0</m:t>
                          </m:r>
                        </m:sub>
                      </m:sSub>
                    </m:e>
                  </m:d>
                  <m:r>
                    <a:rPr lang="en-US" sz="1100" b="0" i="1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≥0</m:t>
                  </m:r>
                </m:oMath>
              </a14:m>
              <a:endParaRPr lang="ru-RU">
                <a:effectLst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𝑓</m:t>
                    </m:r>
                    <m:d>
                      <m:dPr>
                        <m:ctrlPr>
                          <a:rPr lang="ru-RU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ru-RU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e>
                    </m:d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𝑓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′′</m:t>
                        </m:r>
                      </m:sup>
                    </m:sSup>
                    <m:d>
                      <m:d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ru-RU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ru-RU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4∗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𝑙𝑔</m:t>
                        </m:r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5−1</m:t>
                        </m:r>
                      </m:e>
                    </m:d>
                    <m:d>
                      <m:dPr>
                        <m:ctrlPr>
                          <a:rPr lang="ru-RU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ru-RU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</m:e>
                            </m:d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𝑙𝑛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10</m:t>
                            </m:r>
                          </m:den>
                        </m:f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𝑙𝑛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10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ru-RU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5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&gt;0</m:t>
                    </m:r>
                  </m:oMath>
                </m:oMathPara>
              </a14:m>
              <a:endParaRPr lang="en-US" sz="1100"/>
            </a:p>
            <a:p>
              <a:r>
                <a:rPr lang="ru-RU" sz="1100"/>
                <a:t>4.</a:t>
              </a:r>
              <a:r>
                <a:rPr lang="ru-RU" sz="1100" baseline="0"/>
                <a:t> Итоговое значение:</a:t>
              </a: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=2.0592</m:t>
                    </m:r>
                  </m:oMath>
                </m:oMathPara>
              </a14:m>
              <a:endParaRPr lang="en-US" sz="1100">
                <a:solidFill>
                  <a:srgbClr val="00B050"/>
                </a:solidFill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8A5BC17-984B-4C4A-ABE9-C0619181F809}"/>
                </a:ext>
              </a:extLst>
            </xdr:cNvPr>
            <xdr:cNvSpPr txBox="1"/>
          </xdr:nvSpPr>
          <xdr:spPr>
            <a:xfrm>
              <a:off x="8172450" y="8153400"/>
              <a:ext cx="4552950" cy="28289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𝑓(𝑥)=𝑥∗lg⁡(𝑥+1)−1</a:t>
              </a:r>
              <a:endParaRPr lang="ru-RU">
                <a:effectLst/>
              </a:endParaRPr>
            </a:p>
            <a:p>
              <a:r>
                <a:rPr lang="ru-RU" sz="1100"/>
                <a:t>2. Выберем </a:t>
              </a:r>
              <a:r>
                <a:rPr lang="en-US" sz="1100" b="0" i="0">
                  <a:latin typeface="Cambria Math" panose="02040503050406030204" pitchFamily="18" charset="0"/>
                </a:rPr>
                <a:t>𝑥_0=4</a:t>
              </a:r>
              <a:endParaRPr lang="en-US" sz="1100" b="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/>
                <a:t>3.</a:t>
              </a:r>
              <a:r>
                <a:rPr lang="en-US" sz="1100" baseline="0"/>
                <a:t> </a:t>
              </a:r>
              <a:r>
                <a:rPr lang="ru-RU" sz="1100" baseline="0"/>
                <a:t>Проверим, что 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𝑓(𝑥_0 ) 𝑓^′′ (𝑥_0 )≥0</a:t>
              </a:r>
              <a:endParaRPr lang="ru-RU">
                <a:effectLst/>
              </a:endParaRPr>
            </a:p>
            <a:p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𝑓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(4)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𝑓^′′ (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4∗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𝑙𝑔5−1)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1/(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)𝑙𝑛10+1/(𝑙𝑛10(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)^2 )</a:t>
              </a:r>
              <a:r>
                <a:rPr lang="ru-RU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&gt;0</a:t>
              </a:r>
              <a:endParaRPr lang="en-US" sz="1100"/>
            </a:p>
            <a:p>
              <a:r>
                <a:rPr lang="ru-RU" sz="1100"/>
                <a:t>4.</a:t>
              </a:r>
              <a:r>
                <a:rPr lang="ru-RU" sz="1100" baseline="0"/>
                <a:t> Итоговое значение:</a:t>
              </a:r>
            </a:p>
            <a:p>
              <a:r>
                <a:rPr lang="en-US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𝑥_0=2.0592</a:t>
              </a:r>
              <a:endParaRPr lang="en-US" sz="1100">
                <a:solidFill>
                  <a:srgbClr val="00B050"/>
                </a:solidFill>
              </a:endParaRPr>
            </a:p>
          </xdr:txBody>
        </xdr:sp>
      </mc:Fallback>
    </mc:AlternateContent>
    <xdr:clientData/>
  </xdr:twoCellAnchor>
  <xdr:twoCellAnchor>
    <xdr:from>
      <xdr:col>3</xdr:col>
      <xdr:colOff>247650</xdr:colOff>
      <xdr:row>1</xdr:row>
      <xdr:rowOff>47625</xdr:rowOff>
    </xdr:from>
    <xdr:to>
      <xdr:col>11</xdr:col>
      <xdr:colOff>180975</xdr:colOff>
      <xdr:row>24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17900E1-64EF-42AE-975F-43D6DBFAB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238125</xdr:colOff>
      <xdr:row>24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31906D5-61D5-4A49-871F-7915303C3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285749</xdr:colOff>
      <xdr:row>34</xdr:row>
      <xdr:rowOff>152400</xdr:rowOff>
    </xdr:from>
    <xdr:to>
      <xdr:col>3</xdr:col>
      <xdr:colOff>561974</xdr:colOff>
      <xdr:row>53</xdr:row>
      <xdr:rowOff>76200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2737553-F109-4A3F-967D-12B7AD22B19A}"/>
                </a:ext>
              </a:extLst>
            </xdr:cNvPr>
            <xdr:cNvSpPr txBox="1"/>
          </xdr:nvSpPr>
          <xdr:spPr>
            <a:xfrm>
              <a:off x="285749" y="7515225"/>
              <a:ext cx="2847975" cy="3543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ru-RU" sz="1100"/>
                <a:t>Интервал</a:t>
              </a:r>
              <a:r>
                <a:rPr lang="ru-RU" sz="1100" baseline="0"/>
                <a:t> (-1;0</a:t>
              </a:r>
              <a:r>
                <a:rPr lang="en-US" sz="1100" baseline="0"/>
                <a:t>]</a:t>
              </a: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n-US" sz="1100" b="0" i="0" baseline="0">
                        <a:latin typeface="Cambria Math" panose="02040503050406030204" pitchFamily="18" charset="0"/>
                      </a:rPr>
                      <m:t>lg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⁡(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+1)</m:t>
                    </m:r>
                  </m:oMath>
                </m:oMathPara>
              </a14:m>
              <a:endParaRPr lang="en-US" sz="1100" baseline="0"/>
            </a:p>
            <a:p>
              <a:pPr algn="l"/>
              <a:r>
                <a:rPr lang="en-US" sz="1100" baseline="0"/>
                <a:t>1. </a:t>
              </a:r>
              <a:r>
                <a:rPr lang="ru-RU" sz="1100" baseline="0"/>
                <a:t>Рассмотрим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  <m:sub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</m:e>
                  </m:d>
                  <m:r>
                    <a:rPr lang="en-US" sz="1100" b="0" i="1" baseline="0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𝑏</m:t>
                          </m:r>
                        </m:e>
                        <m:sub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</m:e>
                  </m:d>
                </m:oMath>
              </a14:m>
              <a:endParaRPr lang="en-US" sz="1100" b="0" baseline="0"/>
            </a:p>
            <a:p>
              <a:pPr algn="l"/>
              <a:endParaRPr lang="en-US" sz="1100"/>
            </a:p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lim</m:t>
                            </m:r>
                          </m:e>
                          <m:lim>
                            <m:d>
                              <m:dPr>
                                <m:begChr m:val="{"/>
                                <m:endChr m:val="}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→−1</m:t>
                                </m:r>
                              </m:e>
                            </m:d>
                          </m:lim>
                        </m:limLow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∞∗1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func>
                  </m:oMath>
                </m:oMathPara>
              </a14:m>
              <a:endParaRPr lang="en-US" sz="1100" b="0"/>
            </a:p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Корни есть</m:t>
                    </m:r>
                  </m:oMath>
                </m:oMathPara>
              </a14:m>
              <a:endParaRPr lang="ru-RU" sz="1100" b="0">
                <a:ea typeface="Cambria Math" panose="02040503050406030204" pitchFamily="18" charset="0"/>
              </a:endParaRPr>
            </a:p>
            <a:p>
              <a:pPr algn="l"/>
              <a:r>
                <a:rPr lang="ru-RU" sz="1100"/>
                <a:t>2.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sSub>
                        <m:sSub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𝑏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=−0.5</m:t>
                  </m:r>
                </m:oMath>
              </a14:m>
              <a:endParaRPr lang="en-US" sz="1100"/>
            </a:p>
            <a:p>
              <a:pPr algn="l"/>
              <a:r>
                <a:rPr lang="en-US" sz="1100"/>
                <a:t>3.</a:t>
              </a:r>
              <a:r>
                <a:rPr lang="en-US" sz="1100" baseline="0"/>
                <a:t> </a:t>
              </a:r>
              <a:r>
                <a:rPr lang="ru-RU" sz="1100" baseline="0"/>
                <a:t>Итерационный процесс:</a:t>
              </a:r>
            </a:p>
            <a:p>
              <a:pPr algn="l"/>
              <a:r>
                <a:rPr lang="ru-RU" sz="1100" baseline="0"/>
                <a:t>Если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  <m:sub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</m:e>
                  </m:d>
                  <m:r>
                    <a:rPr lang="en-US" sz="1100" b="0" i="1" baseline="0"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</m:e>
                  </m:d>
                  <m:r>
                    <a:rPr lang="en-US" sz="1100" b="0" i="1" baseline="0">
                      <a:latin typeface="Cambria Math" panose="02040503050406030204" pitchFamily="18" charset="0"/>
                    </a:rPr>
                    <m:t>&lt;0,</m:t>
                  </m:r>
                </m:oMath>
              </a14:m>
              <a:r>
                <a:rPr lang="ru-RU" sz="1100"/>
                <a:t> то корень на этом отрезке и</a:t>
              </a:r>
            </a:p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  <a:p>
              <a:pPr algn="l"/>
              <a:r>
                <a:rPr lang="ru-RU" sz="1100"/>
                <a:t>а</a:t>
              </a:r>
              <a:r>
                <a:rPr lang="ru-RU" sz="1100" baseline="0"/>
                <a:t> новый отрезок 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𝑎</m:t>
                          </m:r>
                        </m:e>
                        <m:sub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;</m:t>
                      </m:r>
                      <m:sSub>
                        <m:sSubPr>
                          <m:ctrlPr>
                            <a:rPr lang="en-US" sz="1100" b="0" i="1" baseline="0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b>
                          <m:r>
                            <a:rPr lang="en-US" sz="1100" b="0" i="1" baseline="0">
                              <a:latin typeface="Cambria Math" panose="02040503050406030204" pitchFamily="18" charset="0"/>
                            </a:rPr>
                            <m:t>0</m:t>
                          </m:r>
                        </m:sub>
                      </m:sSub>
                    </m:e>
                  </m:d>
                </m:oMath>
              </a14:m>
              <a:endParaRPr lang="ru-RU" sz="1100" b="0" baseline="0"/>
            </a:p>
            <a:p>
              <a:pPr algn="l"/>
              <a:r>
                <a:rPr lang="ru-RU" sz="1100"/>
                <a:t>4.</a:t>
              </a:r>
              <a:r>
                <a:rPr lang="ru-RU" sz="1100" baseline="0"/>
                <a:t> Условие окончания:</a:t>
              </a:r>
            </a:p>
            <a:p>
              <a:pPr algn="l"/>
              <a:r>
                <a:rPr lang="ru-RU" sz="1100" baseline="0"/>
                <a:t>Длина отрезка меньше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𝜀</m:t>
                  </m:r>
                </m:oMath>
              </a14:m>
              <a:endParaRPr lang="en-US" sz="1100" b="0" baseline="0"/>
            </a:p>
            <a:p>
              <a:pPr algn="l"/>
              <a:r>
                <a:rPr lang="en-US" sz="1100"/>
                <a:t>5. </a:t>
              </a:r>
              <a:r>
                <a:rPr lang="ru-RU" sz="1100"/>
                <a:t>Полученный</a:t>
              </a:r>
              <a:r>
                <a:rPr lang="ru-RU" sz="1100" baseline="0"/>
                <a:t> ответ</a:t>
              </a:r>
            </a:p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solidFill>
                          <a:srgbClr val="00B050"/>
                        </a:solidFill>
                        <a:latin typeface="Cambria Math" panose="02040503050406030204" pitchFamily="18" charset="0"/>
                      </a:rPr>
                      <m:t>−0.9187</m:t>
                    </m:r>
                  </m:oMath>
                </m:oMathPara>
              </a14:m>
              <a:endParaRPr lang="ru-RU" sz="1100">
                <a:solidFill>
                  <a:srgbClr val="00B050"/>
                </a:solidFill>
              </a:endParaRPr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2737553-F109-4A3F-967D-12B7AD22B19A}"/>
                </a:ext>
              </a:extLst>
            </xdr:cNvPr>
            <xdr:cNvSpPr txBox="1"/>
          </xdr:nvSpPr>
          <xdr:spPr>
            <a:xfrm>
              <a:off x="285749" y="7515225"/>
              <a:ext cx="2847975" cy="3543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ru-RU" sz="1100"/>
                <a:t>Интервал</a:t>
              </a:r>
              <a:r>
                <a:rPr lang="ru-RU" sz="1100" baseline="0"/>
                <a:t> (-1;0</a:t>
              </a:r>
              <a:r>
                <a:rPr lang="en-US" sz="1100" baseline="0"/>
                <a:t>]</a:t>
              </a:r>
            </a:p>
            <a:p>
              <a:pPr algn="ctr"/>
              <a:r>
                <a:rPr lang="en-US" sz="1100" b="0" i="0" baseline="0">
                  <a:latin typeface="Cambria Math" panose="02040503050406030204" pitchFamily="18" charset="0"/>
                </a:rPr>
                <a:t>𝑓(𝑥)=1−𝑥∗lg⁡(𝑥+1)</a:t>
              </a:r>
              <a:endParaRPr lang="en-US" sz="1100" baseline="0"/>
            </a:p>
            <a:p>
              <a:pPr algn="l"/>
              <a:r>
                <a:rPr lang="en-US" sz="1100" baseline="0"/>
                <a:t>1. </a:t>
              </a:r>
              <a:r>
                <a:rPr lang="ru-RU" sz="1100" baseline="0"/>
                <a:t>Рассмотрим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𝑓(𝑎_0 )𝑓(𝑏_0 )</a:t>
              </a:r>
              <a:endParaRPr lang="en-US" sz="1100" b="0" baseline="0"/>
            </a:p>
            <a:p>
              <a:pPr algn="l"/>
              <a:endParaRPr lang="en-US" sz="1100"/>
            </a:p>
            <a:p>
              <a:pPr algn="l"/>
              <a:r>
                <a:rPr lang="en-US" sz="1100" b="0" i="0">
                  <a:latin typeface="Cambria Math" panose="02040503050406030204" pitchFamily="18" charset="0"/>
                </a:rPr>
                <a:t>lim_{𝑥→−1} ⁡〖𝑓(𝑥)∗𝑓(0)=−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∞∗1</a:t>
              </a:r>
              <a:r>
                <a:rPr lang="en-US" sz="1100" b="0" i="0">
                  <a:latin typeface="Cambria Math" panose="02040503050406030204" pitchFamily="18" charset="0"/>
                </a:rPr>
                <a:t> 〗</a:t>
              </a:r>
              <a:endParaRPr lang="en-US" sz="1100" b="0"/>
            </a:p>
            <a:p>
              <a:pPr algn="l"/>
              <a:r>
                <a:rPr lang="ru-RU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⇒</a:t>
              </a:r>
              <a:r>
                <a:rPr lang="ru-RU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Корни есть</a:t>
              </a:r>
              <a:endParaRPr lang="ru-RU" sz="1100" b="0">
                <a:ea typeface="Cambria Math" panose="02040503050406030204" pitchFamily="18" charset="0"/>
              </a:endParaRPr>
            </a:p>
            <a:p>
              <a:pPr algn="l"/>
              <a:r>
                <a:rPr lang="ru-RU" sz="1100"/>
                <a:t>2. </a:t>
              </a:r>
              <a:r>
                <a:rPr lang="en-US" sz="1100" b="0" i="0">
                  <a:latin typeface="Cambria Math" panose="02040503050406030204" pitchFamily="18" charset="0"/>
                </a:rPr>
                <a:t>𝑥_0=(𝑎_0+𝑏_0)/2=−0.5</a:t>
              </a:r>
              <a:endParaRPr lang="en-US" sz="1100"/>
            </a:p>
            <a:p>
              <a:pPr algn="l"/>
              <a:r>
                <a:rPr lang="en-US" sz="1100"/>
                <a:t>3.</a:t>
              </a:r>
              <a:r>
                <a:rPr lang="en-US" sz="1100" baseline="0"/>
                <a:t> </a:t>
              </a:r>
              <a:r>
                <a:rPr lang="ru-RU" sz="1100" baseline="0"/>
                <a:t>Итерационный процесс:</a:t>
              </a:r>
            </a:p>
            <a:p>
              <a:pPr algn="l"/>
              <a:r>
                <a:rPr lang="ru-RU" sz="1100" baseline="0"/>
                <a:t>Если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𝑓(𝑎_0 )𝑓(𝑥_0 )&lt;0,</a:t>
              </a:r>
              <a:r>
                <a:rPr lang="ru-RU" sz="1100"/>
                <a:t> то корень на этом отрезке и</a:t>
              </a:r>
            </a:p>
            <a:p>
              <a:pPr algn="l"/>
              <a:r>
                <a:rPr lang="en-US" sz="1100" b="0" i="0">
                  <a:latin typeface="Cambria Math" panose="02040503050406030204" pitchFamily="18" charset="0"/>
                </a:rPr>
                <a:t>𝑥_1=  (𝑎_0+𝑥_0)/2</a:t>
              </a:r>
              <a:endParaRPr lang="en-US" sz="1100"/>
            </a:p>
            <a:p>
              <a:pPr algn="l"/>
              <a:r>
                <a:rPr lang="ru-RU" sz="1100"/>
                <a:t>а</a:t>
              </a:r>
              <a:r>
                <a:rPr lang="ru-RU" sz="1100" baseline="0"/>
                <a:t> новый отрезок </a:t>
              </a:r>
              <a:r>
                <a:rPr lang="en-US" sz="1100" b="0" i="0" baseline="0">
                  <a:latin typeface="Cambria Math" panose="02040503050406030204" pitchFamily="18" charset="0"/>
                </a:rPr>
                <a:t>[𝑎_0;𝑥_0 ]</a:t>
              </a:r>
              <a:endParaRPr lang="ru-RU" sz="1100" b="0" baseline="0"/>
            </a:p>
            <a:p>
              <a:pPr algn="l"/>
              <a:r>
                <a:rPr lang="ru-RU" sz="1100"/>
                <a:t>4.</a:t>
              </a:r>
              <a:r>
                <a:rPr lang="ru-RU" sz="1100" baseline="0"/>
                <a:t> Условие окончания:</a:t>
              </a:r>
            </a:p>
            <a:p>
              <a:pPr algn="l"/>
              <a:r>
                <a:rPr lang="ru-RU" sz="1100" baseline="0"/>
                <a:t>Длина отрезка меньше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𝜀</a:t>
              </a:r>
              <a:endParaRPr lang="en-US" sz="1100" b="0" baseline="0"/>
            </a:p>
            <a:p>
              <a:pPr algn="l"/>
              <a:r>
                <a:rPr lang="en-US" sz="1100"/>
                <a:t>5. </a:t>
              </a:r>
              <a:r>
                <a:rPr lang="ru-RU" sz="1100"/>
                <a:t>Полученный</a:t>
              </a:r>
              <a:r>
                <a:rPr lang="ru-RU" sz="1100" baseline="0"/>
                <a:t> ответ</a:t>
              </a:r>
            </a:p>
            <a:p>
              <a:pPr algn="l"/>
              <a:r>
                <a:rPr lang="ru-RU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−0.9187</a:t>
              </a:r>
              <a:endParaRPr lang="ru-RU" sz="1100">
                <a:solidFill>
                  <a:srgbClr val="00B050"/>
                </a:solidFill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E11B-6679-4C8D-8A4D-BBC0CD5492AB}">
  <dimension ref="A1:X72"/>
  <sheetViews>
    <sheetView zoomScaleNormal="100" workbookViewId="0">
      <selection activeCell="I31" sqref="I31"/>
    </sheetView>
  </sheetViews>
  <sheetFormatPr defaultRowHeight="15" x14ac:dyDescent="0.25"/>
  <cols>
    <col min="2" max="2" width="18.5703125" customWidth="1"/>
    <col min="3" max="3" width="19.28515625" customWidth="1"/>
    <col min="12" max="12" width="26.5703125" customWidth="1"/>
    <col min="13" max="13" width="14" customWidth="1"/>
    <col min="15" max="15" width="13" customWidth="1"/>
    <col min="24" max="24" width="28.140625" customWidth="1"/>
  </cols>
  <sheetData>
    <row r="1" spans="2:24" ht="15.75" thickBot="1" x14ac:dyDescent="0.3"/>
    <row r="2" spans="2:24" ht="19.5" thickBot="1" x14ac:dyDescent="0.35">
      <c r="B2" s="11" t="s">
        <v>10</v>
      </c>
      <c r="C2" s="12"/>
    </row>
    <row r="3" spans="2:24" ht="19.5" thickBot="1" x14ac:dyDescent="0.35">
      <c r="B3" s="8" t="s">
        <v>0</v>
      </c>
      <c r="C3" s="8" t="s">
        <v>2</v>
      </c>
    </row>
    <row r="4" spans="2:24" ht="27" thickBot="1" x14ac:dyDescent="0.45">
      <c r="B4" s="9" t="s">
        <v>1</v>
      </c>
      <c r="C4" s="9" t="s">
        <v>3</v>
      </c>
      <c r="N4" s="7" t="s">
        <v>8</v>
      </c>
      <c r="O4" s="7"/>
      <c r="P4" s="7"/>
      <c r="Q4" s="7"/>
      <c r="R4" s="7"/>
      <c r="S4" s="7"/>
      <c r="W4" s="3" t="s">
        <v>4</v>
      </c>
      <c r="X4" s="2" t="s">
        <v>9</v>
      </c>
    </row>
    <row r="5" spans="2:24" ht="18.75" x14ac:dyDescent="0.3">
      <c r="B5" s="10"/>
      <c r="C5" s="10"/>
      <c r="W5">
        <v>10</v>
      </c>
      <c r="X5">
        <f>LOG10(W5+1)+W5/((W5+1)*LN(10))</f>
        <v>1.4362058505248176</v>
      </c>
    </row>
    <row r="6" spans="2:24" ht="18.75" x14ac:dyDescent="0.3">
      <c r="B6" s="9" t="s">
        <v>6</v>
      </c>
      <c r="C6" s="9" t="s">
        <v>7</v>
      </c>
      <c r="W6">
        <v>30</v>
      </c>
      <c r="X6">
        <f t="shared" ref="X6:X18" si="0">LOG10(W6+1)+W6/((W6+1)*LN(10))</f>
        <v>1.9116466763212905</v>
      </c>
    </row>
    <row r="7" spans="2:24" x14ac:dyDescent="0.25">
      <c r="W7">
        <v>50</v>
      </c>
      <c r="X7">
        <f t="shared" si="0"/>
        <v>2.1333490799246535</v>
      </c>
    </row>
    <row r="8" spans="2:24" ht="15.75" thickBot="1" x14ac:dyDescent="0.3">
      <c r="W8">
        <v>70</v>
      </c>
      <c r="X8">
        <f t="shared" si="0"/>
        <v>2.2794360069335489</v>
      </c>
    </row>
    <row r="9" spans="2:24" ht="15.75" thickBot="1" x14ac:dyDescent="0.3">
      <c r="B9" s="3" t="s">
        <v>4</v>
      </c>
      <c r="C9" s="3" t="s">
        <v>5</v>
      </c>
      <c r="W9">
        <v>90</v>
      </c>
      <c r="X9">
        <f t="shared" si="0"/>
        <v>2.3885634073902438</v>
      </c>
    </row>
    <row r="10" spans="2:24" x14ac:dyDescent="0.25">
      <c r="B10" s="5">
        <v>-0.99999000000000005</v>
      </c>
      <c r="C10">
        <f>B10*LOG10(B10+1)-1</f>
        <v>3.9999500000019763</v>
      </c>
      <c r="W10">
        <v>110</v>
      </c>
      <c r="X10">
        <f t="shared" si="0"/>
        <v>2.4757048977898801</v>
      </c>
    </row>
    <row r="11" spans="2:24" x14ac:dyDescent="0.25">
      <c r="B11" s="5">
        <v>-0.5</v>
      </c>
      <c r="C11">
        <f t="shared" ref="C11:C33" si="1">B11*LOG10(B11+1)-1</f>
        <v>-0.84948500216800937</v>
      </c>
      <c r="W11">
        <v>130</v>
      </c>
      <c r="X11">
        <f t="shared" si="0"/>
        <v>2.5482505525063197</v>
      </c>
    </row>
    <row r="12" spans="2:24" x14ac:dyDescent="0.25">
      <c r="B12" s="5">
        <v>-1.00000000000655E-5</v>
      </c>
      <c r="C12">
        <f t="shared" si="1"/>
        <v>-0.9999999999565703</v>
      </c>
      <c r="W12">
        <v>150</v>
      </c>
      <c r="X12">
        <f t="shared" si="0"/>
        <v>2.6103953067997105</v>
      </c>
    </row>
    <row r="13" spans="2:24" x14ac:dyDescent="0.25">
      <c r="B13" s="5">
        <v>0.49997999999999998</v>
      </c>
      <c r="C13">
        <f t="shared" si="1"/>
        <v>-0.91196078749737608</v>
      </c>
      <c r="W13">
        <v>170</v>
      </c>
      <c r="X13">
        <f t="shared" si="0"/>
        <v>2.6647508584831057</v>
      </c>
    </row>
    <row r="14" spans="2:24" x14ac:dyDescent="0.25">
      <c r="B14" s="5">
        <v>0.99997000000000003</v>
      </c>
      <c r="C14">
        <f t="shared" si="1"/>
        <v>-0.6989855495065419</v>
      </c>
      <c r="W14">
        <v>190</v>
      </c>
      <c r="X14">
        <f t="shared" si="0"/>
        <v>2.7130540560520093</v>
      </c>
    </row>
    <row r="15" spans="2:24" x14ac:dyDescent="0.25">
      <c r="B15" s="5">
        <v>1.49996</v>
      </c>
      <c r="C15">
        <f t="shared" si="1"/>
        <v>-0.40311632746529102</v>
      </c>
      <c r="W15">
        <v>210</v>
      </c>
      <c r="X15">
        <f t="shared" si="0"/>
        <v>2.756518669514199</v>
      </c>
    </row>
    <row r="16" spans="2:24" x14ac:dyDescent="0.25">
      <c r="B16" s="5">
        <v>1.9999499999999999</v>
      </c>
      <c r="C16">
        <f t="shared" si="1"/>
        <v>-4.5795822864864832E-2</v>
      </c>
      <c r="W16">
        <v>230</v>
      </c>
      <c r="X16">
        <f t="shared" si="0"/>
        <v>2.7960263991031744</v>
      </c>
    </row>
    <row r="17" spans="2:24" x14ac:dyDescent="0.25">
      <c r="B17" s="5">
        <v>2.4999400000000001</v>
      </c>
      <c r="C17">
        <f t="shared" si="1"/>
        <v>0.36011885445954328</v>
      </c>
      <c r="W17">
        <v>250</v>
      </c>
      <c r="X17">
        <f t="shared" si="0"/>
        <v>2.8322379464842768</v>
      </c>
    </row>
    <row r="18" spans="2:24" x14ac:dyDescent="0.25">
      <c r="B18" s="5">
        <v>2.99993</v>
      </c>
      <c r="C18">
        <f t="shared" si="1"/>
        <v>0.80611502965670345</v>
      </c>
      <c r="W18">
        <v>270</v>
      </c>
      <c r="X18">
        <f t="shared" si="0"/>
        <v>2.8656612101138079</v>
      </c>
    </row>
    <row r="19" spans="2:24" x14ac:dyDescent="0.25">
      <c r="B19" s="5">
        <v>3.4999199999999999</v>
      </c>
      <c r="C19">
        <f t="shared" si="1"/>
        <v>1.286164518822301</v>
      </c>
    </row>
    <row r="20" spans="2:24" x14ac:dyDescent="0.25">
      <c r="B20" s="5">
        <v>3.9999099999999999</v>
      </c>
      <c r="C20">
        <f t="shared" si="1"/>
        <v>1.7957858412631249</v>
      </c>
    </row>
    <row r="21" spans="2:24" x14ac:dyDescent="0.25">
      <c r="B21" s="5">
        <v>4.4999000000000002</v>
      </c>
      <c r="C21">
        <f t="shared" si="1"/>
        <v>2.3315225337368655</v>
      </c>
    </row>
    <row r="22" spans="2:24" x14ac:dyDescent="0.25">
      <c r="B22" s="5">
        <v>4.9998899999999997</v>
      </c>
      <c r="C22">
        <f t="shared" si="1"/>
        <v>2.8906308454640706</v>
      </c>
    </row>
    <row r="23" spans="2:24" x14ac:dyDescent="0.25">
      <c r="B23" s="5">
        <v>5.4998800000000001</v>
      </c>
      <c r="C23">
        <f t="shared" si="1"/>
        <v>3.4708818148944394</v>
      </c>
    </row>
    <row r="24" spans="2:24" x14ac:dyDescent="0.25">
      <c r="B24" s="5">
        <v>5.9998699999999996</v>
      </c>
      <c r="C24">
        <f t="shared" si="1"/>
        <v>4.0704299851257941</v>
      </c>
    </row>
    <row r="25" spans="2:24" x14ac:dyDescent="0.25">
      <c r="B25" s="5">
        <v>6.49986</v>
      </c>
      <c r="C25">
        <f t="shared" si="1"/>
        <v>4.6877230097151843</v>
      </c>
    </row>
    <row r="26" spans="2:24" x14ac:dyDescent="0.25">
      <c r="B26" s="5">
        <v>6.9998500000000003</v>
      </c>
      <c r="C26">
        <f t="shared" si="1"/>
        <v>5.3214374449818784</v>
      </c>
    </row>
    <row r="27" spans="2:24" x14ac:dyDescent="0.25">
      <c r="B27" s="5">
        <v>7.4998399999999998</v>
      </c>
      <c r="C27">
        <f t="shared" si="1"/>
        <v>5.9704319243978725</v>
      </c>
    </row>
    <row r="28" spans="2:24" x14ac:dyDescent="0.25">
      <c r="B28" s="5">
        <v>7.9998300000000002</v>
      </c>
      <c r="C28">
        <f t="shared" si="1"/>
        <v>6.6337122283410501</v>
      </c>
    </row>
    <row r="29" spans="2:24" x14ac:dyDescent="0.25">
      <c r="B29" s="5">
        <v>8.4998199999999997</v>
      </c>
      <c r="C29">
        <f t="shared" si="1"/>
        <v>7.310404711255611</v>
      </c>
    </row>
    <row r="30" spans="2:24" x14ac:dyDescent="0.25">
      <c r="B30" s="5">
        <v>8.9998100000000001</v>
      </c>
      <c r="C30">
        <f t="shared" si="1"/>
        <v>7.9997357365058921</v>
      </c>
    </row>
    <row r="31" spans="2:24" x14ac:dyDescent="0.25">
      <c r="B31" s="5">
        <v>9.4998000000000005</v>
      </c>
      <c r="C31">
        <f t="shared" si="1"/>
        <v>8.7010155175900792</v>
      </c>
    </row>
    <row r="32" spans="2:24" x14ac:dyDescent="0.25">
      <c r="B32" s="5">
        <v>9.9997900000000008</v>
      </c>
      <c r="C32">
        <f t="shared" si="1"/>
        <v>9.4136252493033528</v>
      </c>
    </row>
    <row r="33" spans="1:15" x14ac:dyDescent="0.25">
      <c r="B33" s="5">
        <v>10.499779999999999</v>
      </c>
      <c r="C33">
        <f t="shared" si="1"/>
        <v>10.137006734637673</v>
      </c>
    </row>
    <row r="35" spans="1:15" ht="99" customHeight="1" x14ac:dyDescent="0.25"/>
    <row r="36" spans="1:15" ht="23.25" x14ac:dyDescent="0.35">
      <c r="B36" s="13" t="s">
        <v>11</v>
      </c>
      <c r="C36" s="13"/>
      <c r="D36" s="13"/>
      <c r="E36" s="13"/>
      <c r="K36" s="13" t="s">
        <v>16</v>
      </c>
      <c r="L36" s="13"/>
      <c r="M36" s="13"/>
      <c r="N36" s="13"/>
      <c r="O36" s="13"/>
    </row>
    <row r="37" spans="1:15" x14ac:dyDescent="0.25">
      <c r="D37" s="1" t="s">
        <v>15</v>
      </c>
      <c r="E37" s="1">
        <v>1E-3</v>
      </c>
    </row>
    <row r="38" spans="1:15" x14ac:dyDescent="0.25">
      <c r="A38" t="s">
        <v>12</v>
      </c>
      <c r="B38" t="s">
        <v>13</v>
      </c>
      <c r="C38" t="s">
        <v>14</v>
      </c>
      <c r="N38" s="1" t="s">
        <v>15</v>
      </c>
      <c r="O38" s="1">
        <v>1E-3</v>
      </c>
    </row>
    <row r="39" spans="1:15" x14ac:dyDescent="0.25">
      <c r="A39">
        <v>0</v>
      </c>
      <c r="B39">
        <v>-0.6</v>
      </c>
      <c r="K39" t="s">
        <v>12</v>
      </c>
      <c r="L39" t="s">
        <v>13</v>
      </c>
      <c r="M39" t="s">
        <v>14</v>
      </c>
    </row>
    <row r="40" spans="1:15" x14ac:dyDescent="0.25">
      <c r="A40">
        <v>1</v>
      </c>
      <c r="B40" s="4">
        <f>10^(1/B39) - 1</f>
        <v>-0.97845565309968119</v>
      </c>
      <c r="C40" t="str">
        <f>IF(ABS(B40-B39)&lt;$E$37,"Остановка","Продолжаем" )</f>
        <v>Продолжаем</v>
      </c>
      <c r="K40">
        <v>0</v>
      </c>
      <c r="L40">
        <v>5</v>
      </c>
    </row>
    <row r="41" spans="1:15" x14ac:dyDescent="0.25">
      <c r="A41">
        <v>2</v>
      </c>
      <c r="B41">
        <f t="shared" ref="B41:B43" si="2">10^(1/B40) - 1</f>
        <v>-0.90494361937721013</v>
      </c>
      <c r="C41" t="str">
        <f t="shared" ref="C41:C52" si="3">IF(ABS(B41-B40)&lt;$E$37,"Остановка","Продолжаем" )</f>
        <v>Продолжаем</v>
      </c>
      <c r="K41">
        <v>1</v>
      </c>
      <c r="L41" s="4">
        <f>1/(LOG10(L40+1))</f>
        <v>1.2850972089384687</v>
      </c>
      <c r="M41" t="str">
        <f>IF(ABS(L41-L40)&lt;$E$37,"Остановка","Продолжаем" )</f>
        <v>Продолжаем</v>
      </c>
    </row>
    <row r="42" spans="1:15" x14ac:dyDescent="0.25">
      <c r="A42">
        <v>3</v>
      </c>
      <c r="B42">
        <f t="shared" si="2"/>
        <v>-0.92148388882025234</v>
      </c>
      <c r="C42" t="str">
        <f t="shared" si="3"/>
        <v>Продолжаем</v>
      </c>
      <c r="K42">
        <v>2</v>
      </c>
      <c r="L42" s="4">
        <f t="shared" ref="L42:L64" si="4">1/(LOG10(L41+1))</f>
        <v>2.7862551148575139</v>
      </c>
      <c r="M42" t="str">
        <f t="shared" ref="M42:M64" si="5">IF(ABS(L42-L41)&lt;$E$37,"Остановка","Продолжаем" )</f>
        <v>Продолжаем</v>
      </c>
    </row>
    <row r="43" spans="1:15" x14ac:dyDescent="0.25">
      <c r="A43">
        <v>4</v>
      </c>
      <c r="B43">
        <f t="shared" si="2"/>
        <v>-0.91781475922120603</v>
      </c>
      <c r="C43" t="str">
        <f t="shared" si="3"/>
        <v>Продолжаем</v>
      </c>
      <c r="L43" s="4">
        <f t="shared" si="4"/>
        <v>1.7294758298731194</v>
      </c>
      <c r="M43" t="str">
        <f t="shared" si="5"/>
        <v>Продолжаем</v>
      </c>
    </row>
    <row r="44" spans="1:15" x14ac:dyDescent="0.25">
      <c r="A44">
        <v>5</v>
      </c>
      <c r="B44">
        <f t="shared" ref="B44:B52" si="6">10^(1/B43) - 1</f>
        <v>-0.91863164707961387</v>
      </c>
      <c r="C44" t="str">
        <f t="shared" si="3"/>
        <v>Остановка</v>
      </c>
      <c r="L44" s="4">
        <f t="shared" si="4"/>
        <v>2.2931611476328588</v>
      </c>
      <c r="M44" t="str">
        <f t="shared" si="5"/>
        <v>Продолжаем</v>
      </c>
    </row>
    <row r="45" spans="1:15" x14ac:dyDescent="0.25">
      <c r="A45">
        <v>6</v>
      </c>
      <c r="B45">
        <f t="shared" si="6"/>
        <v>-0.9184499191242792</v>
      </c>
      <c r="C45" t="str">
        <f t="shared" si="3"/>
        <v>Остановка</v>
      </c>
      <c r="L45" s="4">
        <f t="shared" si="4"/>
        <v>1.93194535845328</v>
      </c>
      <c r="M45" t="str">
        <f t="shared" si="5"/>
        <v>Продолжаем</v>
      </c>
    </row>
    <row r="46" spans="1:15" x14ac:dyDescent="0.25">
      <c r="A46">
        <v>7</v>
      </c>
      <c r="B46">
        <f t="shared" si="6"/>
        <v>-0.91849035410603774</v>
      </c>
      <c r="C46" t="str">
        <f t="shared" si="3"/>
        <v>Остановка</v>
      </c>
      <c r="L46" s="4">
        <f t="shared" si="4"/>
        <v>2.1406131430044328</v>
      </c>
      <c r="M46" t="str">
        <f t="shared" si="5"/>
        <v>Продолжаем</v>
      </c>
    </row>
    <row r="47" spans="1:15" x14ac:dyDescent="0.25">
      <c r="A47">
        <v>8</v>
      </c>
      <c r="B47">
        <f t="shared" si="6"/>
        <v>-0.91848135755945615</v>
      </c>
      <c r="C47" t="str">
        <f t="shared" si="3"/>
        <v>Остановка</v>
      </c>
      <c r="L47" s="4">
        <f t="shared" si="4"/>
        <v>2.012013961454977</v>
      </c>
      <c r="M47" t="str">
        <f t="shared" si="5"/>
        <v>Продолжаем</v>
      </c>
    </row>
    <row r="48" spans="1:15" x14ac:dyDescent="0.25">
      <c r="A48">
        <v>9</v>
      </c>
      <c r="B48">
        <f t="shared" si="6"/>
        <v>-0.91848335925573832</v>
      </c>
      <c r="C48" t="str">
        <f t="shared" si="3"/>
        <v>Остановка</v>
      </c>
      <c r="L48" s="4">
        <f t="shared" si="4"/>
        <v>2.0883061968699868</v>
      </c>
      <c r="M48" t="str">
        <f t="shared" si="5"/>
        <v>Продолжаем</v>
      </c>
    </row>
    <row r="49" spans="1:13" x14ac:dyDescent="0.25">
      <c r="A49">
        <v>10</v>
      </c>
      <c r="B49">
        <f t="shared" si="6"/>
        <v>-0.91848291388703651</v>
      </c>
      <c r="C49" t="str">
        <f t="shared" si="3"/>
        <v>Остановка</v>
      </c>
      <c r="L49" s="4">
        <f t="shared" si="4"/>
        <v>2.0419817026811602</v>
      </c>
      <c r="M49" t="str">
        <f t="shared" si="5"/>
        <v>Продолжаем</v>
      </c>
    </row>
    <row r="50" spans="1:13" x14ac:dyDescent="0.25">
      <c r="A50">
        <v>11</v>
      </c>
      <c r="B50">
        <f t="shared" si="6"/>
        <v>-0.91848301297967483</v>
      </c>
      <c r="C50" t="str">
        <f t="shared" si="3"/>
        <v>Остановка</v>
      </c>
      <c r="L50" s="4">
        <f t="shared" si="4"/>
        <v>2.0697223327421495</v>
      </c>
      <c r="M50" t="str">
        <f t="shared" si="5"/>
        <v>Продолжаем</v>
      </c>
    </row>
    <row r="51" spans="1:13" x14ac:dyDescent="0.25">
      <c r="A51">
        <v>12</v>
      </c>
      <c r="B51">
        <f t="shared" si="6"/>
        <v>-0.91848299093198715</v>
      </c>
      <c r="C51" t="str">
        <f t="shared" si="3"/>
        <v>Остановка</v>
      </c>
      <c r="L51" s="4">
        <f t="shared" si="4"/>
        <v>2.0529703560739452</v>
      </c>
      <c r="M51" t="str">
        <f t="shared" si="5"/>
        <v>Продолжаем</v>
      </c>
    </row>
    <row r="52" spans="1:13" x14ac:dyDescent="0.25">
      <c r="A52">
        <v>13</v>
      </c>
      <c r="B52">
        <f t="shared" si="6"/>
        <v>-0.91848299583750337</v>
      </c>
      <c r="C52" t="str">
        <f t="shared" si="3"/>
        <v>Остановка</v>
      </c>
      <c r="L52" s="4">
        <f t="shared" si="4"/>
        <v>2.0630356951331854</v>
      </c>
      <c r="M52" t="str">
        <f t="shared" si="5"/>
        <v>Продолжаем</v>
      </c>
    </row>
    <row r="53" spans="1:13" x14ac:dyDescent="0.25">
      <c r="L53" s="4">
        <f t="shared" si="4"/>
        <v>2.0569695916400095</v>
      </c>
      <c r="M53" t="str">
        <f t="shared" si="5"/>
        <v>Продолжаем</v>
      </c>
    </row>
    <row r="54" spans="1:13" x14ac:dyDescent="0.25">
      <c r="L54" s="4">
        <f t="shared" si="4"/>
        <v>2.0606187944070817</v>
      </c>
      <c r="M54" t="str">
        <f t="shared" si="5"/>
        <v>Продолжаем</v>
      </c>
    </row>
    <row r="55" spans="1:13" x14ac:dyDescent="0.25">
      <c r="L55" s="4">
        <f t="shared" si="4"/>
        <v>2.0584211167827937</v>
      </c>
      <c r="M55" t="str">
        <f t="shared" si="5"/>
        <v>Продолжаем</v>
      </c>
    </row>
    <row r="56" spans="1:13" x14ac:dyDescent="0.25">
      <c r="L56" s="4">
        <f t="shared" si="4"/>
        <v>2.0597437592120382</v>
      </c>
      <c r="M56" t="str">
        <f t="shared" si="5"/>
        <v>Продолжаем</v>
      </c>
    </row>
    <row r="57" spans="1:13" x14ac:dyDescent="0.25">
      <c r="L57" s="4">
        <f t="shared" si="4"/>
        <v>2.0589474274447386</v>
      </c>
      <c r="M57" t="str">
        <f t="shared" si="5"/>
        <v>Остановка</v>
      </c>
    </row>
    <row r="58" spans="1:13" x14ac:dyDescent="0.25">
      <c r="L58" s="4">
        <f t="shared" si="4"/>
        <v>2.0594267649662612</v>
      </c>
      <c r="M58" t="str">
        <f t="shared" si="5"/>
        <v>Остановка</v>
      </c>
    </row>
    <row r="59" spans="1:13" x14ac:dyDescent="0.25">
      <c r="L59" s="4">
        <f t="shared" si="4"/>
        <v>2.0591381947223999</v>
      </c>
      <c r="M59" t="str">
        <f t="shared" si="5"/>
        <v>Остановка</v>
      </c>
    </row>
    <row r="60" spans="1:13" x14ac:dyDescent="0.25">
      <c r="L60" s="4">
        <f t="shared" si="4"/>
        <v>2.0593119043554733</v>
      </c>
      <c r="M60" t="str">
        <f t="shared" si="5"/>
        <v>Остановка</v>
      </c>
    </row>
    <row r="61" spans="1:13" x14ac:dyDescent="0.25">
      <c r="L61" s="4">
        <f t="shared" si="4"/>
        <v>2.0592073314936332</v>
      </c>
      <c r="M61" t="str">
        <f t="shared" si="5"/>
        <v>Остановка</v>
      </c>
    </row>
    <row r="62" spans="1:13" x14ac:dyDescent="0.25">
      <c r="L62" s="4">
        <f t="shared" si="4"/>
        <v>2.0592702821697095</v>
      </c>
      <c r="M62" t="str">
        <f t="shared" si="5"/>
        <v>Остановка</v>
      </c>
    </row>
    <row r="63" spans="1:13" x14ac:dyDescent="0.25">
      <c r="L63" s="4">
        <f t="shared" si="4"/>
        <v>2.0592323864602218</v>
      </c>
      <c r="M63" t="str">
        <f t="shared" si="5"/>
        <v>Остановка</v>
      </c>
    </row>
    <row r="64" spans="1:13" x14ac:dyDescent="0.25">
      <c r="L64" s="4">
        <f t="shared" si="4"/>
        <v>2.0592551990571275</v>
      </c>
      <c r="M64" t="str">
        <f t="shared" si="5"/>
        <v>Остановка</v>
      </c>
    </row>
    <row r="65" spans="12:12" x14ac:dyDescent="0.25">
      <c r="L65" s="4"/>
    </row>
    <row r="66" spans="12:12" x14ac:dyDescent="0.25">
      <c r="L66" s="4"/>
    </row>
    <row r="67" spans="12:12" x14ac:dyDescent="0.25">
      <c r="L67" s="4"/>
    </row>
    <row r="68" spans="12:12" x14ac:dyDescent="0.25">
      <c r="L68" s="4"/>
    </row>
    <row r="69" spans="12:12" x14ac:dyDescent="0.25">
      <c r="L69" s="4"/>
    </row>
    <row r="70" spans="12:12" x14ac:dyDescent="0.25">
      <c r="L70" s="4"/>
    </row>
    <row r="71" spans="12:12" x14ac:dyDescent="0.25">
      <c r="L71" s="4"/>
    </row>
    <row r="72" spans="12:12" x14ac:dyDescent="0.25">
      <c r="L72" s="4"/>
    </row>
  </sheetData>
  <mergeCells count="4">
    <mergeCell ref="N4:S4"/>
    <mergeCell ref="B2:C2"/>
    <mergeCell ref="B36:E36"/>
    <mergeCell ref="K36:O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E59A-CCAF-4BC3-86EC-21CA2B0FF606}">
  <dimension ref="B1:O43"/>
  <sheetViews>
    <sheetView workbookViewId="0">
      <selection activeCell="C33" sqref="B2:C33"/>
    </sheetView>
  </sheetViews>
  <sheetFormatPr defaultRowHeight="15" x14ac:dyDescent="0.25"/>
  <cols>
    <col min="2" max="2" width="14.7109375" customWidth="1"/>
    <col min="3" max="3" width="17.42578125" customWidth="1"/>
    <col min="7" max="7" width="13.7109375" customWidth="1"/>
    <col min="14" max="14" width="16.140625" customWidth="1"/>
  </cols>
  <sheetData>
    <row r="1" spans="2:3" ht="15.75" thickBot="1" x14ac:dyDescent="0.3"/>
    <row r="2" spans="2:3" ht="19.5" thickBot="1" x14ac:dyDescent="0.35">
      <c r="B2" s="11" t="s">
        <v>10</v>
      </c>
      <c r="C2" s="12"/>
    </row>
    <row r="3" spans="2:3" ht="18.75" x14ac:dyDescent="0.3">
      <c r="B3" s="8" t="s">
        <v>0</v>
      </c>
      <c r="C3" s="8" t="s">
        <v>2</v>
      </c>
    </row>
    <row r="4" spans="2:3" ht="18.75" x14ac:dyDescent="0.3">
      <c r="B4" s="9" t="s">
        <v>1</v>
      </c>
      <c r="C4" s="9" t="s">
        <v>3</v>
      </c>
    </row>
    <row r="5" spans="2:3" ht="18.75" x14ac:dyDescent="0.3">
      <c r="B5" s="10"/>
      <c r="C5" s="10"/>
    </row>
    <row r="6" spans="2:3" ht="18.75" x14ac:dyDescent="0.3">
      <c r="B6" s="9" t="s">
        <v>6</v>
      </c>
      <c r="C6" s="9" t="s">
        <v>7</v>
      </c>
    </row>
    <row r="8" spans="2:3" ht="15.75" thickBot="1" x14ac:dyDescent="0.3"/>
    <row r="9" spans="2:3" ht="15.75" thickBot="1" x14ac:dyDescent="0.3">
      <c r="B9" s="3" t="s">
        <v>4</v>
      </c>
      <c r="C9" s="3" t="s">
        <v>5</v>
      </c>
    </row>
    <row r="10" spans="2:3" x14ac:dyDescent="0.25">
      <c r="B10" s="5">
        <v>-0.99999000000000005</v>
      </c>
      <c r="C10">
        <f>B10*LOG10(B10+1)-1</f>
        <v>3.9999500000019763</v>
      </c>
    </row>
    <row r="11" spans="2:3" x14ac:dyDescent="0.25">
      <c r="B11" s="5">
        <v>-0.5</v>
      </c>
      <c r="C11">
        <f t="shared" ref="C11:C33" si="0">B11*LOG10(B11+1)-1</f>
        <v>-0.84948500216800937</v>
      </c>
    </row>
    <row r="12" spans="2:3" x14ac:dyDescent="0.25">
      <c r="B12" s="5">
        <v>-1.00000000000655E-5</v>
      </c>
      <c r="C12">
        <f t="shared" si="0"/>
        <v>-0.9999999999565703</v>
      </c>
    </row>
    <row r="13" spans="2:3" x14ac:dyDescent="0.25">
      <c r="B13" s="5">
        <v>0.49997999999999998</v>
      </c>
      <c r="C13">
        <f t="shared" si="0"/>
        <v>-0.91196078749737608</v>
      </c>
    </row>
    <row r="14" spans="2:3" x14ac:dyDescent="0.25">
      <c r="B14" s="5">
        <v>0.99997000000000003</v>
      </c>
      <c r="C14">
        <f t="shared" si="0"/>
        <v>-0.6989855495065419</v>
      </c>
    </row>
    <row r="15" spans="2:3" x14ac:dyDescent="0.25">
      <c r="B15" s="5">
        <v>1.49996</v>
      </c>
      <c r="C15">
        <f t="shared" si="0"/>
        <v>-0.40311632746529102</v>
      </c>
    </row>
    <row r="16" spans="2:3" x14ac:dyDescent="0.25">
      <c r="B16" s="5">
        <v>1.9999499999999999</v>
      </c>
      <c r="C16">
        <f t="shared" si="0"/>
        <v>-4.5795822864864832E-2</v>
      </c>
    </row>
    <row r="17" spans="2:15" x14ac:dyDescent="0.25">
      <c r="B17" s="5">
        <v>2.4999400000000001</v>
      </c>
      <c r="C17">
        <f t="shared" si="0"/>
        <v>0.36011885445954328</v>
      </c>
    </row>
    <row r="18" spans="2:15" x14ac:dyDescent="0.25">
      <c r="B18" s="5">
        <v>2.99993</v>
      </c>
      <c r="C18">
        <f t="shared" si="0"/>
        <v>0.80611502965670345</v>
      </c>
    </row>
    <row r="19" spans="2:15" x14ac:dyDescent="0.25">
      <c r="B19" s="5">
        <v>3.4999199999999999</v>
      </c>
      <c r="C19">
        <f t="shared" si="0"/>
        <v>1.286164518822301</v>
      </c>
    </row>
    <row r="20" spans="2:15" x14ac:dyDescent="0.25">
      <c r="B20" s="5">
        <v>3.9999099999999999</v>
      </c>
      <c r="C20">
        <f t="shared" si="0"/>
        <v>1.7957858412631249</v>
      </c>
    </row>
    <row r="21" spans="2:15" x14ac:dyDescent="0.25">
      <c r="B21" s="5">
        <v>4.4999000000000002</v>
      </c>
      <c r="C21">
        <f t="shared" si="0"/>
        <v>2.3315225337368655</v>
      </c>
    </row>
    <row r="22" spans="2:15" x14ac:dyDescent="0.25">
      <c r="B22" s="5">
        <v>4.9998899999999997</v>
      </c>
      <c r="C22">
        <f t="shared" si="0"/>
        <v>2.8906308454640706</v>
      </c>
    </row>
    <row r="23" spans="2:15" x14ac:dyDescent="0.25">
      <c r="B23" s="5">
        <v>5.4998800000000001</v>
      </c>
      <c r="C23">
        <f t="shared" si="0"/>
        <v>3.4708818148944394</v>
      </c>
    </row>
    <row r="24" spans="2:15" x14ac:dyDescent="0.25">
      <c r="B24" s="5">
        <v>5.9998699999999996</v>
      </c>
      <c r="C24">
        <f t="shared" si="0"/>
        <v>4.0704299851257941</v>
      </c>
    </row>
    <row r="25" spans="2:15" x14ac:dyDescent="0.25">
      <c r="B25" s="5">
        <v>6.49986</v>
      </c>
      <c r="C25">
        <f t="shared" si="0"/>
        <v>4.6877230097151843</v>
      </c>
    </row>
    <row r="26" spans="2:15" x14ac:dyDescent="0.25">
      <c r="B26" s="5">
        <v>6.9998500000000003</v>
      </c>
      <c r="C26">
        <f t="shared" si="0"/>
        <v>5.3214374449818784</v>
      </c>
      <c r="F26" t="s">
        <v>15</v>
      </c>
      <c r="G26">
        <v>1E-3</v>
      </c>
    </row>
    <row r="27" spans="2:15" ht="23.25" x14ac:dyDescent="0.35">
      <c r="B27" s="5">
        <v>7.4998399999999998</v>
      </c>
      <c r="C27">
        <f t="shared" si="0"/>
        <v>5.9704319243978725</v>
      </c>
      <c r="E27" s="13" t="s">
        <v>17</v>
      </c>
      <c r="F27" s="13"/>
      <c r="G27" s="13"/>
      <c r="H27" s="13"/>
      <c r="I27" s="13"/>
      <c r="L27" s="14" t="s">
        <v>19</v>
      </c>
      <c r="M27" s="14"/>
      <c r="N27" s="14"/>
      <c r="O27" s="14"/>
    </row>
    <row r="28" spans="2:15" x14ac:dyDescent="0.25">
      <c r="B28" s="5">
        <v>7.9998300000000002</v>
      </c>
      <c r="C28">
        <f t="shared" si="0"/>
        <v>6.6337122283410501</v>
      </c>
    </row>
    <row r="29" spans="2:15" x14ac:dyDescent="0.25">
      <c r="B29" s="5">
        <v>8.4998199999999997</v>
      </c>
      <c r="C29">
        <f t="shared" si="0"/>
        <v>7.310404711255611</v>
      </c>
      <c r="E29" t="s">
        <v>12</v>
      </c>
      <c r="F29" t="s">
        <v>13</v>
      </c>
      <c r="G29" t="s">
        <v>18</v>
      </c>
      <c r="L29" t="s">
        <v>12</v>
      </c>
      <c r="M29" t="s">
        <v>13</v>
      </c>
      <c r="N29" t="s">
        <v>18</v>
      </c>
    </row>
    <row r="30" spans="2:15" x14ac:dyDescent="0.25">
      <c r="B30" s="5">
        <v>8.9998100000000001</v>
      </c>
      <c r="C30">
        <f t="shared" si="0"/>
        <v>7.9997357365058921</v>
      </c>
      <c r="E30">
        <v>0</v>
      </c>
      <c r="F30">
        <v>-0.999</v>
      </c>
      <c r="L30">
        <v>0</v>
      </c>
      <c r="M30">
        <v>4</v>
      </c>
    </row>
    <row r="31" spans="2:15" x14ac:dyDescent="0.25">
      <c r="B31" s="5">
        <v>9.4998000000000005</v>
      </c>
      <c r="C31">
        <f t="shared" si="0"/>
        <v>8.7010155175900792</v>
      </c>
      <c r="E31">
        <v>1</v>
      </c>
      <c r="F31">
        <f>F30-( F30*LOG10(F30+1)-1)/(LOG10(F30+1) + F30/(LN(10)*(F30+1)))</f>
        <v>-0.99442874343439791</v>
      </c>
      <c r="G31" t="str">
        <f>IF(ABS(F31-F30) &lt; $G$26, "Стоп","Продолжаем")</f>
        <v>Продолжаем</v>
      </c>
      <c r="L31">
        <v>1</v>
      </c>
      <c r="M31">
        <f>M30-( M30*LOG10(M30+1)-1)/(LOG10(M30+1) + M30/(LN(10)*(M30+1)))</f>
        <v>2.2837629741764696</v>
      </c>
      <c r="N31" t="str">
        <f>IF(ABS(M31-M30) &lt; $G$26, "Стоп","Продолжаем")</f>
        <v>Продолжаем</v>
      </c>
    </row>
    <row r="32" spans="2:15" x14ac:dyDescent="0.25">
      <c r="B32" s="5">
        <v>9.9997900000000008</v>
      </c>
      <c r="C32">
        <f t="shared" si="0"/>
        <v>9.4136252493033528</v>
      </c>
      <c r="E32">
        <v>2</v>
      </c>
      <c r="F32">
        <f t="shared" ref="F32:F43" si="1">F31-( F31*LOG10(F31+1)-1)/(LOG10(F31+1) + F31/(LN(10)*(F31+1)))</f>
        <v>-0.97886586479101823</v>
      </c>
      <c r="G32" t="str">
        <f t="shared" ref="G32:G39" si="2">IF(ABS(F32-F31) &lt; $G$26, "Стоп","Продолжаем")</f>
        <v>Продолжаем</v>
      </c>
      <c r="L32">
        <v>2</v>
      </c>
      <c r="M32">
        <f t="shared" ref="M32:M38" si="3">M31-( M31*LOG10(M31+1)-1)/(LOG10(M31+1) + M31/(LN(10)*(M31+1)))</f>
        <v>2.0647156167491767</v>
      </c>
      <c r="N32" t="str">
        <f t="shared" ref="N32:N38" si="4">IF(ABS(M32-M31) &lt; $G$26, "Стоп","Продолжаем")</f>
        <v>Продолжаем</v>
      </c>
    </row>
    <row r="33" spans="2:14" x14ac:dyDescent="0.25">
      <c r="B33" s="5">
        <v>10.499779999999999</v>
      </c>
      <c r="C33">
        <f t="shared" si="0"/>
        <v>10.137006734637673</v>
      </c>
      <c r="E33">
        <v>3</v>
      </c>
      <c r="F33">
        <f t="shared" si="1"/>
        <v>-0.94951244526996093</v>
      </c>
      <c r="G33" t="str">
        <f t="shared" si="2"/>
        <v>Продолжаем</v>
      </c>
      <c r="L33">
        <v>3</v>
      </c>
      <c r="M33">
        <f t="shared" si="3"/>
        <v>2.0592502375256299</v>
      </c>
      <c r="N33" t="str">
        <f t="shared" si="4"/>
        <v>Продолжаем</v>
      </c>
    </row>
    <row r="34" spans="2:14" x14ac:dyDescent="0.25">
      <c r="E34">
        <v>4</v>
      </c>
      <c r="F34">
        <f t="shared" si="1"/>
        <v>-0.92506933322148832</v>
      </c>
      <c r="G34" t="str">
        <f t="shared" si="2"/>
        <v>Продолжаем</v>
      </c>
      <c r="L34">
        <v>4</v>
      </c>
      <c r="M34">
        <f t="shared" si="3"/>
        <v>2.0592466266225613</v>
      </c>
      <c r="N34" t="str">
        <f t="shared" si="4"/>
        <v>Стоп</v>
      </c>
    </row>
    <row r="35" spans="2:14" x14ac:dyDescent="0.25">
      <c r="E35">
        <v>5</v>
      </c>
      <c r="F35">
        <f t="shared" si="1"/>
        <v>-0.91874623860780646</v>
      </c>
      <c r="G35" t="str">
        <f t="shared" si="2"/>
        <v>Продолжаем</v>
      </c>
      <c r="L35">
        <v>5</v>
      </c>
      <c r="M35">
        <f t="shared" si="3"/>
        <v>2.059246626620983</v>
      </c>
      <c r="N35" t="str">
        <f t="shared" si="4"/>
        <v>Стоп</v>
      </c>
    </row>
    <row r="36" spans="2:14" x14ac:dyDescent="0.25">
      <c r="E36">
        <v>6</v>
      </c>
      <c r="F36">
        <f t="shared" si="1"/>
        <v>-0.91848340477284451</v>
      </c>
      <c r="G36" t="str">
        <f t="shared" si="2"/>
        <v>Стоп</v>
      </c>
      <c r="L36">
        <v>6</v>
      </c>
      <c r="M36">
        <f t="shared" si="3"/>
        <v>2.0592466266209826</v>
      </c>
      <c r="N36" t="str">
        <f t="shared" si="4"/>
        <v>Стоп</v>
      </c>
    </row>
    <row r="37" spans="2:14" x14ac:dyDescent="0.25">
      <c r="E37">
        <v>7</v>
      </c>
      <c r="F37">
        <f t="shared" si="1"/>
        <v>-0.91848299494568564</v>
      </c>
      <c r="G37" t="str">
        <f t="shared" si="2"/>
        <v>Стоп</v>
      </c>
      <c r="L37">
        <v>7</v>
      </c>
      <c r="M37">
        <f t="shared" si="3"/>
        <v>2.0592466266209826</v>
      </c>
      <c r="N37" t="str">
        <f t="shared" si="4"/>
        <v>Стоп</v>
      </c>
    </row>
    <row r="38" spans="2:14" x14ac:dyDescent="0.25">
      <c r="E38">
        <v>8</v>
      </c>
      <c r="F38">
        <f t="shared" si="1"/>
        <v>-0.91848299494469343</v>
      </c>
      <c r="G38" t="str">
        <f t="shared" si="2"/>
        <v>Стоп</v>
      </c>
      <c r="L38">
        <v>8</v>
      </c>
      <c r="M38">
        <f t="shared" si="3"/>
        <v>2.0592466266209826</v>
      </c>
      <c r="N38" t="str">
        <f t="shared" si="4"/>
        <v>Стоп</v>
      </c>
    </row>
    <row r="39" spans="2:14" x14ac:dyDescent="0.25">
      <c r="E39">
        <v>9</v>
      </c>
      <c r="F39">
        <f t="shared" si="1"/>
        <v>-0.91848299494469332</v>
      </c>
      <c r="G39" t="str">
        <f t="shared" si="2"/>
        <v>Стоп</v>
      </c>
    </row>
    <row r="40" spans="2:14" x14ac:dyDescent="0.25">
      <c r="E40">
        <v>10</v>
      </c>
      <c r="F40">
        <f t="shared" si="1"/>
        <v>-0.91848299494469343</v>
      </c>
    </row>
    <row r="41" spans="2:14" x14ac:dyDescent="0.25">
      <c r="E41">
        <v>11</v>
      </c>
      <c r="F41">
        <f t="shared" si="1"/>
        <v>-0.91848299494469332</v>
      </c>
    </row>
    <row r="42" spans="2:14" x14ac:dyDescent="0.25">
      <c r="E42">
        <v>12</v>
      </c>
      <c r="F42">
        <f t="shared" si="1"/>
        <v>-0.91848299494469343</v>
      </c>
    </row>
    <row r="43" spans="2:14" x14ac:dyDescent="0.25">
      <c r="E43">
        <v>13</v>
      </c>
      <c r="F43">
        <f t="shared" si="1"/>
        <v>-0.91848299494469332</v>
      </c>
    </row>
  </sheetData>
  <mergeCells count="3">
    <mergeCell ref="B2:C2"/>
    <mergeCell ref="E27:I27"/>
    <mergeCell ref="L27:O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21A8-315F-437F-9C54-F0440B436348}">
  <dimension ref="B1:R52"/>
  <sheetViews>
    <sheetView tabSelected="1" topLeftCell="A19" workbookViewId="0">
      <selection activeCell="P45" sqref="P45"/>
    </sheetView>
  </sheetViews>
  <sheetFormatPr defaultRowHeight="15" x14ac:dyDescent="0.25"/>
  <cols>
    <col min="2" max="2" width="14.5703125" customWidth="1"/>
    <col min="3" max="3" width="14.85546875" customWidth="1"/>
    <col min="9" max="9" width="15.5703125" customWidth="1"/>
    <col min="10" max="10" width="10.5703125" customWidth="1"/>
  </cols>
  <sheetData>
    <row r="1" spans="2:3" ht="15.75" thickBot="1" x14ac:dyDescent="0.3"/>
    <row r="2" spans="2:3" ht="19.5" thickBot="1" x14ac:dyDescent="0.35">
      <c r="B2" s="11" t="s">
        <v>10</v>
      </c>
      <c r="C2" s="12"/>
    </row>
    <row r="3" spans="2:3" ht="18.75" x14ac:dyDescent="0.3">
      <c r="B3" s="8" t="s">
        <v>0</v>
      </c>
      <c r="C3" s="8" t="s">
        <v>2</v>
      </c>
    </row>
    <row r="4" spans="2:3" ht="18.75" x14ac:dyDescent="0.3">
      <c r="B4" s="9" t="s">
        <v>1</v>
      </c>
      <c r="C4" s="9" t="s">
        <v>3</v>
      </c>
    </row>
    <row r="5" spans="2:3" ht="18.75" x14ac:dyDescent="0.3">
      <c r="B5" s="10"/>
      <c r="C5" s="10"/>
    </row>
    <row r="6" spans="2:3" ht="18.75" x14ac:dyDescent="0.3">
      <c r="B6" s="9" t="s">
        <v>6</v>
      </c>
      <c r="C6" s="9" t="s">
        <v>7</v>
      </c>
    </row>
    <row r="8" spans="2:3" ht="15.75" thickBot="1" x14ac:dyDescent="0.3"/>
    <row r="9" spans="2:3" ht="15.75" thickBot="1" x14ac:dyDescent="0.3">
      <c r="B9" s="3" t="s">
        <v>4</v>
      </c>
      <c r="C9" s="3" t="s">
        <v>5</v>
      </c>
    </row>
    <row r="10" spans="2:3" x14ac:dyDescent="0.25">
      <c r="B10" s="5">
        <v>-0.99999000000000005</v>
      </c>
      <c r="C10">
        <f>B10*LOG10(B10+1)-1</f>
        <v>3.9999500000019763</v>
      </c>
    </row>
    <row r="11" spans="2:3" x14ac:dyDescent="0.25">
      <c r="B11" s="5">
        <v>-0.5</v>
      </c>
      <c r="C11">
        <f t="shared" ref="C11:C33" si="0">B11*LOG10(B11+1)-1</f>
        <v>-0.84948500216800937</v>
      </c>
    </row>
    <row r="12" spans="2:3" x14ac:dyDescent="0.25">
      <c r="B12" s="5">
        <v>-1.00000000000655E-5</v>
      </c>
      <c r="C12">
        <f t="shared" si="0"/>
        <v>-0.9999999999565703</v>
      </c>
    </row>
    <row r="13" spans="2:3" x14ac:dyDescent="0.25">
      <c r="B13" s="5">
        <v>0.49997999999999998</v>
      </c>
      <c r="C13">
        <f t="shared" si="0"/>
        <v>-0.91196078749737608</v>
      </c>
    </row>
    <row r="14" spans="2:3" x14ac:dyDescent="0.25">
      <c r="B14" s="5">
        <v>0.99997000000000003</v>
      </c>
      <c r="C14">
        <f t="shared" si="0"/>
        <v>-0.6989855495065419</v>
      </c>
    </row>
    <row r="15" spans="2:3" x14ac:dyDescent="0.25">
      <c r="B15" s="5">
        <v>1.49996</v>
      </c>
      <c r="C15">
        <f t="shared" si="0"/>
        <v>-0.40311632746529102</v>
      </c>
    </row>
    <row r="16" spans="2:3" x14ac:dyDescent="0.25">
      <c r="B16" s="5">
        <v>1.9999499999999999</v>
      </c>
      <c r="C16">
        <f t="shared" si="0"/>
        <v>-4.5795822864864832E-2</v>
      </c>
    </row>
    <row r="17" spans="2:18" x14ac:dyDescent="0.25">
      <c r="B17" s="5">
        <v>2.4999400000000001</v>
      </c>
      <c r="C17">
        <f t="shared" si="0"/>
        <v>0.36011885445954328</v>
      </c>
    </row>
    <row r="18" spans="2:18" x14ac:dyDescent="0.25">
      <c r="B18" s="5">
        <v>2.99993</v>
      </c>
      <c r="C18">
        <f t="shared" si="0"/>
        <v>0.80611502965670345</v>
      </c>
    </row>
    <row r="19" spans="2:18" x14ac:dyDescent="0.25">
      <c r="B19" s="5">
        <v>3.4999199999999999</v>
      </c>
      <c r="C19">
        <f t="shared" si="0"/>
        <v>1.286164518822301</v>
      </c>
    </row>
    <row r="20" spans="2:18" x14ac:dyDescent="0.25">
      <c r="B20" s="5">
        <v>3.9999099999999999</v>
      </c>
      <c r="C20">
        <f t="shared" si="0"/>
        <v>1.7957858412631249</v>
      </c>
    </row>
    <row r="21" spans="2:18" x14ac:dyDescent="0.25">
      <c r="B21" s="5">
        <v>4.4999000000000002</v>
      </c>
      <c r="C21">
        <f t="shared" si="0"/>
        <v>2.3315225337368655</v>
      </c>
    </row>
    <row r="22" spans="2:18" x14ac:dyDescent="0.25">
      <c r="B22" s="5">
        <v>4.9998899999999997</v>
      </c>
      <c r="C22">
        <f t="shared" si="0"/>
        <v>2.8906308454640706</v>
      </c>
    </row>
    <row r="23" spans="2:18" x14ac:dyDescent="0.25">
      <c r="B23" s="5">
        <v>5.4998800000000001</v>
      </c>
      <c r="C23">
        <f t="shared" si="0"/>
        <v>3.4708818148944394</v>
      </c>
    </row>
    <row r="24" spans="2:18" x14ac:dyDescent="0.25">
      <c r="B24" s="5">
        <v>5.9998699999999996</v>
      </c>
      <c r="C24">
        <f t="shared" si="0"/>
        <v>4.0704299851257941</v>
      </c>
    </row>
    <row r="25" spans="2:18" x14ac:dyDescent="0.25">
      <c r="B25" s="5">
        <v>6.49986</v>
      </c>
      <c r="C25">
        <f t="shared" si="0"/>
        <v>4.6877230097151843</v>
      </c>
    </row>
    <row r="26" spans="2:18" x14ac:dyDescent="0.25">
      <c r="B26" s="5">
        <v>6.9998500000000003</v>
      </c>
      <c r="C26">
        <f t="shared" si="0"/>
        <v>5.3214374449818784</v>
      </c>
    </row>
    <row r="27" spans="2:18" x14ac:dyDescent="0.25">
      <c r="B27" s="5">
        <v>7.4998399999999998</v>
      </c>
      <c r="C27">
        <f t="shared" si="0"/>
        <v>5.9704319243978725</v>
      </c>
      <c r="G27" t="s">
        <v>15</v>
      </c>
      <c r="H27">
        <v>1E-3</v>
      </c>
    </row>
    <row r="28" spans="2:18" ht="48" customHeight="1" x14ac:dyDescent="0.35">
      <c r="B28" s="5">
        <v>7.9998300000000002</v>
      </c>
      <c r="C28">
        <f t="shared" si="0"/>
        <v>6.6337122283410501</v>
      </c>
      <c r="E28" s="17" t="s">
        <v>20</v>
      </c>
      <c r="F28" s="17"/>
      <c r="G28" s="17"/>
      <c r="H28" s="17"/>
      <c r="I28" s="17"/>
      <c r="J28" s="17"/>
      <c r="K28" s="15"/>
      <c r="M28" s="6" t="s">
        <v>25</v>
      </c>
      <c r="N28" s="6"/>
      <c r="O28" s="6"/>
      <c r="P28" s="6"/>
      <c r="Q28" s="6"/>
    </row>
    <row r="29" spans="2:18" x14ac:dyDescent="0.25">
      <c r="B29" s="5">
        <v>8.4998199999999997</v>
      </c>
      <c r="C29">
        <f t="shared" si="0"/>
        <v>7.310404711255611</v>
      </c>
    </row>
    <row r="30" spans="2:18" ht="30" customHeight="1" x14ac:dyDescent="0.25">
      <c r="B30" s="5">
        <v>8.9998100000000001</v>
      </c>
      <c r="C30">
        <f t="shared" si="0"/>
        <v>7.9997357365058921</v>
      </c>
      <c r="E30" t="s">
        <v>12</v>
      </c>
      <c r="F30" t="s">
        <v>21</v>
      </c>
      <c r="G30" t="s">
        <v>22</v>
      </c>
      <c r="H30" t="s">
        <v>13</v>
      </c>
      <c r="I30" s="16" t="s">
        <v>23</v>
      </c>
      <c r="J30" t="s">
        <v>24</v>
      </c>
      <c r="M30" t="s">
        <v>12</v>
      </c>
      <c r="N30" t="s">
        <v>21</v>
      </c>
      <c r="O30" t="s">
        <v>22</v>
      </c>
      <c r="P30" t="s">
        <v>13</v>
      </c>
      <c r="Q30" s="16" t="s">
        <v>23</v>
      </c>
      <c r="R30" t="s">
        <v>24</v>
      </c>
    </row>
    <row r="31" spans="2:18" x14ac:dyDescent="0.25">
      <c r="B31" s="5">
        <v>9.4998000000000005</v>
      </c>
      <c r="C31">
        <f t="shared" si="0"/>
        <v>8.7010155175900792</v>
      </c>
      <c r="E31">
        <v>0</v>
      </c>
      <c r="F31">
        <v>-0.99999999999999001</v>
      </c>
      <c r="G31">
        <v>0</v>
      </c>
      <c r="H31">
        <f>(F31+G31)/2</f>
        <v>-0.499999999999995</v>
      </c>
      <c r="I31">
        <f>ABS(F31-G31)</f>
        <v>0.99999999999999001</v>
      </c>
      <c r="J31" t="str">
        <f>IF(I31&lt;$H$27, "Стоп","Продолжаем")</f>
        <v>Продолжаем</v>
      </c>
      <c r="M31">
        <v>0</v>
      </c>
      <c r="N31">
        <v>0</v>
      </c>
      <c r="O31">
        <v>10</v>
      </c>
      <c r="P31">
        <f>(N31+O31)/2</f>
        <v>5</v>
      </c>
      <c r="Q31">
        <f>ABS(N31-O31)</f>
        <v>10</v>
      </c>
      <c r="R31" t="str">
        <f>IF(Q31&lt;$H$27, "Стоп","Продолжаем")</f>
        <v>Продолжаем</v>
      </c>
    </row>
    <row r="32" spans="2:18" x14ac:dyDescent="0.25">
      <c r="B32" s="5">
        <v>9.9997900000000008</v>
      </c>
      <c r="C32">
        <f t="shared" si="0"/>
        <v>9.4136252493033528</v>
      </c>
      <c r="E32">
        <v>1</v>
      </c>
      <c r="F32">
        <f>IF( (1-F31*LOG10(F31+1))*(1-H31*LOG10(H31+1))&lt;0, F31,H31)</f>
        <v>-0.99999999999999001</v>
      </c>
      <c r="G32">
        <f>IF( (1-G31*LOG10(G31+1))*(1-H31*LOG10(H31+1))&lt;0, G31,H31)</f>
        <v>-0.499999999999995</v>
      </c>
      <c r="H32">
        <f>(F32+G32)/2</f>
        <v>-0.74999999999999245</v>
      </c>
      <c r="I32">
        <f>ABS(F32-G32)</f>
        <v>0.499999999999995</v>
      </c>
      <c r="J32" t="str">
        <f>IF(I32&lt;$H$27, "Стоп","Продолжаем")</f>
        <v>Продолжаем</v>
      </c>
      <c r="M32">
        <v>1</v>
      </c>
      <c r="N32">
        <f>IF( (1-N31*LOG10(N31+1))*(1-P31*LOG10(P31+1))&lt;0, N31,P31)</f>
        <v>0</v>
      </c>
      <c r="O32">
        <f>IF( (1-O31*LOG10(O31+1))*(1-P31*LOG10(P31+1))&lt;0, O31,P31)</f>
        <v>5</v>
      </c>
      <c r="P32">
        <f>(N32+O32)/2</f>
        <v>2.5</v>
      </c>
      <c r="Q32">
        <f>ABS(N32-O32)</f>
        <v>5</v>
      </c>
      <c r="R32" t="str">
        <f>IF(Q32&lt;$H$27, "Стоп","Продолжаем")</f>
        <v>Продолжаем</v>
      </c>
    </row>
    <row r="33" spans="2:18" x14ac:dyDescent="0.25">
      <c r="B33" s="5">
        <v>10.499779999999999</v>
      </c>
      <c r="C33">
        <f t="shared" si="0"/>
        <v>10.137006734637673</v>
      </c>
      <c r="E33">
        <v>2</v>
      </c>
      <c r="F33">
        <f t="shared" ref="F33:F40" si="1">IF( (1-F32*LOG10(F32+1))*(1-H32*LOG10(H32+1))&lt;0, F32,H32)</f>
        <v>-0.99999999999999001</v>
      </c>
      <c r="G33">
        <f t="shared" ref="G33:G40" si="2">IF( (1-G32*LOG10(G32+1))*(1-H32*LOG10(H32+1))&lt;0, G32,H32)</f>
        <v>-0.74999999999999245</v>
      </c>
      <c r="H33">
        <f t="shared" ref="H33:H40" si="3">(F33+G33)/2</f>
        <v>-0.87499999999999123</v>
      </c>
      <c r="I33">
        <f t="shared" ref="I33:I40" si="4">ABS(F33-G33)</f>
        <v>0.24999999999999756</v>
      </c>
      <c r="J33" t="str">
        <f t="shared" ref="J33:J46" si="5">IF(I33&lt;$H$27, "Стоп","Продолжаем")</f>
        <v>Продолжаем</v>
      </c>
      <c r="M33">
        <v>2</v>
      </c>
      <c r="N33">
        <f t="shared" ref="N33:N44" si="6">IF( (1-N32*LOG10(N32+1))*(1-P32*LOG10(P32+1))&lt;0, N32,P32)</f>
        <v>0</v>
      </c>
      <c r="O33">
        <f t="shared" ref="O33:O44" si="7">IF( (1-O32*LOG10(O32+1))*(1-P32*LOG10(P32+1))&lt;0, O32,P32)</f>
        <v>2.5</v>
      </c>
      <c r="P33">
        <f t="shared" ref="P33:P44" si="8">(N33+O33)/2</f>
        <v>1.25</v>
      </c>
      <c r="Q33">
        <f t="shared" ref="Q33:Q44" si="9">ABS(N33-O33)</f>
        <v>2.5</v>
      </c>
      <c r="R33" t="str">
        <f t="shared" ref="R33:R52" si="10">IF(Q33&lt;$H$27, "Стоп","Продолжаем")</f>
        <v>Продолжаем</v>
      </c>
    </row>
    <row r="34" spans="2:18" x14ac:dyDescent="0.25">
      <c r="E34">
        <v>3</v>
      </c>
      <c r="F34">
        <f t="shared" si="1"/>
        <v>-0.99999999999999001</v>
      </c>
      <c r="G34">
        <f t="shared" si="2"/>
        <v>-0.87499999999999123</v>
      </c>
      <c r="H34">
        <f t="shared" si="3"/>
        <v>-0.93749999999999067</v>
      </c>
      <c r="I34">
        <f t="shared" si="4"/>
        <v>0.12499999999999878</v>
      </c>
      <c r="J34" t="str">
        <f t="shared" si="5"/>
        <v>Продолжаем</v>
      </c>
      <c r="M34">
        <v>3</v>
      </c>
      <c r="N34">
        <f t="shared" si="6"/>
        <v>1.25</v>
      </c>
      <c r="O34">
        <f t="shared" si="7"/>
        <v>2.5</v>
      </c>
      <c r="P34">
        <f t="shared" si="8"/>
        <v>1.875</v>
      </c>
      <c r="Q34">
        <f t="shared" si="9"/>
        <v>1.25</v>
      </c>
      <c r="R34" t="str">
        <f t="shared" si="10"/>
        <v>Продолжаем</v>
      </c>
    </row>
    <row r="35" spans="2:18" x14ac:dyDescent="0.25">
      <c r="E35">
        <v>4</v>
      </c>
      <c r="F35">
        <f t="shared" si="1"/>
        <v>-0.93749999999999067</v>
      </c>
      <c r="G35">
        <f t="shared" si="2"/>
        <v>-0.87499999999999123</v>
      </c>
      <c r="H35">
        <f t="shared" si="3"/>
        <v>-0.9062499999999909</v>
      </c>
      <c r="I35">
        <f t="shared" si="4"/>
        <v>6.2499999999999445E-2</v>
      </c>
      <c r="J35" t="str">
        <f t="shared" si="5"/>
        <v>Продолжаем</v>
      </c>
      <c r="M35">
        <v>4</v>
      </c>
      <c r="N35">
        <f t="shared" si="6"/>
        <v>1.875</v>
      </c>
      <c r="O35">
        <f t="shared" si="7"/>
        <v>2.5</v>
      </c>
      <c r="P35">
        <f t="shared" si="8"/>
        <v>2.1875</v>
      </c>
      <c r="Q35">
        <f t="shared" si="9"/>
        <v>0.625</v>
      </c>
      <c r="R35" t="str">
        <f t="shared" si="10"/>
        <v>Продолжаем</v>
      </c>
    </row>
    <row r="36" spans="2:18" x14ac:dyDescent="0.25">
      <c r="E36">
        <v>5</v>
      </c>
      <c r="F36">
        <f t="shared" si="1"/>
        <v>-0.93749999999999067</v>
      </c>
      <c r="G36">
        <f t="shared" si="2"/>
        <v>-0.9062499999999909</v>
      </c>
      <c r="H36">
        <f t="shared" si="3"/>
        <v>-0.92187499999999079</v>
      </c>
      <c r="I36">
        <f t="shared" si="4"/>
        <v>3.1249999999999778E-2</v>
      </c>
      <c r="J36" t="str">
        <f t="shared" si="5"/>
        <v>Продолжаем</v>
      </c>
      <c r="M36">
        <v>5</v>
      </c>
      <c r="N36">
        <f t="shared" si="6"/>
        <v>1.875</v>
      </c>
      <c r="O36">
        <f t="shared" si="7"/>
        <v>2.1875</v>
      </c>
      <c r="P36">
        <f t="shared" si="8"/>
        <v>2.03125</v>
      </c>
      <c r="Q36">
        <f t="shared" si="9"/>
        <v>0.3125</v>
      </c>
      <c r="R36" t="str">
        <f t="shared" si="10"/>
        <v>Продолжаем</v>
      </c>
    </row>
    <row r="37" spans="2:18" x14ac:dyDescent="0.25">
      <c r="E37">
        <v>6</v>
      </c>
      <c r="F37">
        <f t="shared" si="1"/>
        <v>-0.92187499999999079</v>
      </c>
      <c r="G37">
        <f t="shared" si="2"/>
        <v>-0.9062499999999909</v>
      </c>
      <c r="H37">
        <f t="shared" si="3"/>
        <v>-0.9140624999999909</v>
      </c>
      <c r="I37">
        <f t="shared" si="4"/>
        <v>1.5624999999999889E-2</v>
      </c>
      <c r="J37" t="str">
        <f t="shared" si="5"/>
        <v>Продолжаем</v>
      </c>
      <c r="M37">
        <v>6</v>
      </c>
      <c r="N37">
        <f t="shared" si="6"/>
        <v>2.03125</v>
      </c>
      <c r="O37">
        <f t="shared" si="7"/>
        <v>2.1875</v>
      </c>
      <c r="P37">
        <f t="shared" si="8"/>
        <v>2.109375</v>
      </c>
      <c r="Q37">
        <f t="shared" si="9"/>
        <v>0.15625</v>
      </c>
      <c r="R37" t="str">
        <f t="shared" si="10"/>
        <v>Продолжаем</v>
      </c>
    </row>
    <row r="38" spans="2:18" x14ac:dyDescent="0.25">
      <c r="E38">
        <v>7</v>
      </c>
      <c r="F38">
        <f t="shared" si="1"/>
        <v>-0.92187499999999079</v>
      </c>
      <c r="G38">
        <f t="shared" si="2"/>
        <v>-0.9140624999999909</v>
      </c>
      <c r="H38">
        <f t="shared" si="3"/>
        <v>-0.9179687499999909</v>
      </c>
      <c r="I38">
        <f t="shared" si="4"/>
        <v>7.812499999999889E-3</v>
      </c>
      <c r="J38" t="str">
        <f t="shared" si="5"/>
        <v>Продолжаем</v>
      </c>
      <c r="M38">
        <v>7</v>
      </c>
      <c r="N38">
        <f t="shared" si="6"/>
        <v>2.03125</v>
      </c>
      <c r="O38">
        <f t="shared" si="7"/>
        <v>2.109375</v>
      </c>
      <c r="P38">
        <f t="shared" si="8"/>
        <v>2.0703125</v>
      </c>
      <c r="Q38">
        <f t="shared" si="9"/>
        <v>7.8125E-2</v>
      </c>
      <c r="R38" t="str">
        <f t="shared" si="10"/>
        <v>Продолжаем</v>
      </c>
    </row>
    <row r="39" spans="2:18" x14ac:dyDescent="0.25">
      <c r="E39">
        <v>8</v>
      </c>
      <c r="F39">
        <f t="shared" si="1"/>
        <v>-0.92187499999999079</v>
      </c>
      <c r="G39">
        <f t="shared" si="2"/>
        <v>-0.9179687499999909</v>
      </c>
      <c r="H39">
        <f t="shared" si="3"/>
        <v>-0.9199218749999909</v>
      </c>
      <c r="I39">
        <f t="shared" si="4"/>
        <v>3.906249999999889E-3</v>
      </c>
      <c r="J39" t="str">
        <f t="shared" si="5"/>
        <v>Продолжаем</v>
      </c>
      <c r="M39">
        <v>8</v>
      </c>
      <c r="N39">
        <f t="shared" si="6"/>
        <v>2.03125</v>
      </c>
      <c r="O39">
        <f t="shared" si="7"/>
        <v>2.0703125</v>
      </c>
      <c r="P39">
        <f t="shared" si="8"/>
        <v>2.05078125</v>
      </c>
      <c r="Q39">
        <f t="shared" si="9"/>
        <v>3.90625E-2</v>
      </c>
      <c r="R39" t="str">
        <f t="shared" si="10"/>
        <v>Продолжаем</v>
      </c>
    </row>
    <row r="40" spans="2:18" x14ac:dyDescent="0.25">
      <c r="E40">
        <v>9</v>
      </c>
      <c r="F40">
        <f t="shared" si="1"/>
        <v>-0.9199218749999909</v>
      </c>
      <c r="G40">
        <f t="shared" si="2"/>
        <v>-0.9179687499999909</v>
      </c>
      <c r="H40">
        <f t="shared" si="3"/>
        <v>-0.9189453124999909</v>
      </c>
      <c r="I40">
        <f t="shared" si="4"/>
        <v>1.953125E-3</v>
      </c>
      <c r="J40" t="str">
        <f t="shared" si="5"/>
        <v>Продолжаем</v>
      </c>
      <c r="M40">
        <v>9</v>
      </c>
      <c r="N40">
        <f t="shared" si="6"/>
        <v>2.05078125</v>
      </c>
      <c r="O40">
        <f t="shared" si="7"/>
        <v>2.0703125</v>
      </c>
      <c r="P40">
        <f t="shared" si="8"/>
        <v>2.060546875</v>
      </c>
      <c r="Q40">
        <f t="shared" si="9"/>
        <v>1.953125E-2</v>
      </c>
      <c r="R40" t="str">
        <f t="shared" si="10"/>
        <v>Продолжаем</v>
      </c>
    </row>
    <row r="41" spans="2:18" x14ac:dyDescent="0.25">
      <c r="E41">
        <v>10</v>
      </c>
      <c r="F41">
        <f>IF( (1-F40*LOG10(F40+1))*(1-H40*LOG10(H40+1))&lt;0, F40,H40)</f>
        <v>-0.9189453124999909</v>
      </c>
      <c r="G41">
        <f>IF( (1-G40*LOG10(G40+1))*(1-H40*LOG10(H40+1))&lt;0, G40,H40)</f>
        <v>-0.9179687499999909</v>
      </c>
      <c r="H41">
        <f>(F41+G41)/2</f>
        <v>-0.9184570312499909</v>
      </c>
      <c r="I41">
        <f>ABS(F41-G41)</f>
        <v>9.765625E-4</v>
      </c>
      <c r="J41" t="str">
        <f>IF(I41&lt;$H$27, "Стоп","Продолжаем")</f>
        <v>Стоп</v>
      </c>
      <c r="M41">
        <v>10</v>
      </c>
      <c r="N41">
        <f t="shared" si="6"/>
        <v>2.05078125</v>
      </c>
      <c r="O41">
        <f t="shared" si="7"/>
        <v>2.060546875</v>
      </c>
      <c r="P41">
        <f t="shared" si="8"/>
        <v>2.0556640625</v>
      </c>
      <c r="Q41">
        <f t="shared" si="9"/>
        <v>9.765625E-3</v>
      </c>
      <c r="R41" t="str">
        <f t="shared" si="10"/>
        <v>Продолжаем</v>
      </c>
    </row>
    <row r="42" spans="2:18" x14ac:dyDescent="0.25">
      <c r="E42">
        <v>11</v>
      </c>
      <c r="F42">
        <f t="shared" ref="F42:F46" si="11">IF( (1-F41*LOG10(F41+1))*(1-H41*LOG10(H41+1))&lt;0, F41,H41)</f>
        <v>-0.9189453124999909</v>
      </c>
      <c r="G42">
        <f t="shared" ref="G42:G46" si="12">IF( (1-G41*LOG10(G41+1))*(1-H41*LOG10(H41+1))&lt;0, G41,H41)</f>
        <v>-0.9184570312499909</v>
      </c>
      <c r="H42">
        <f t="shared" ref="H42:H46" si="13">(F42+G42)/2</f>
        <v>-0.9187011718749909</v>
      </c>
      <c r="I42">
        <f t="shared" ref="I42:I46" si="14">ABS(F42-G42)</f>
        <v>4.8828125E-4</v>
      </c>
      <c r="J42" t="str">
        <f t="shared" si="5"/>
        <v>Стоп</v>
      </c>
      <c r="M42">
        <v>11</v>
      </c>
      <c r="N42">
        <f t="shared" si="6"/>
        <v>2.0556640625</v>
      </c>
      <c r="O42">
        <f t="shared" si="7"/>
        <v>2.060546875</v>
      </c>
      <c r="P42">
        <f t="shared" si="8"/>
        <v>2.05810546875</v>
      </c>
      <c r="Q42">
        <f t="shared" si="9"/>
        <v>4.8828125E-3</v>
      </c>
      <c r="R42" t="str">
        <f t="shared" si="10"/>
        <v>Продолжаем</v>
      </c>
    </row>
    <row r="43" spans="2:18" x14ac:dyDescent="0.25">
      <c r="E43">
        <v>12</v>
      </c>
      <c r="F43">
        <f t="shared" si="11"/>
        <v>-0.9187011718749909</v>
      </c>
      <c r="G43">
        <f t="shared" si="12"/>
        <v>-0.9184570312499909</v>
      </c>
      <c r="H43">
        <f t="shared" si="13"/>
        <v>-0.9185791015624909</v>
      </c>
      <c r="I43">
        <f t="shared" si="14"/>
        <v>2.44140625E-4</v>
      </c>
      <c r="J43" t="str">
        <f t="shared" si="5"/>
        <v>Стоп</v>
      </c>
      <c r="M43">
        <v>12</v>
      </c>
      <c r="N43">
        <f t="shared" si="6"/>
        <v>2.05810546875</v>
      </c>
      <c r="O43">
        <f t="shared" si="7"/>
        <v>2.060546875</v>
      </c>
      <c r="P43">
        <f t="shared" si="8"/>
        <v>2.059326171875</v>
      </c>
      <c r="Q43">
        <f t="shared" si="9"/>
        <v>2.44140625E-3</v>
      </c>
      <c r="R43" t="str">
        <f t="shared" si="10"/>
        <v>Продолжаем</v>
      </c>
    </row>
    <row r="44" spans="2:18" x14ac:dyDescent="0.25">
      <c r="E44">
        <v>13</v>
      </c>
      <c r="F44">
        <f t="shared" si="11"/>
        <v>-0.9185791015624909</v>
      </c>
      <c r="G44">
        <f t="shared" si="12"/>
        <v>-0.9184570312499909</v>
      </c>
      <c r="H44">
        <f t="shared" si="13"/>
        <v>-0.9185180664062409</v>
      </c>
      <c r="I44">
        <f t="shared" si="14"/>
        <v>1.220703125E-4</v>
      </c>
      <c r="J44" t="str">
        <f t="shared" si="5"/>
        <v>Стоп</v>
      </c>
      <c r="M44">
        <v>13</v>
      </c>
      <c r="N44">
        <f t="shared" si="6"/>
        <v>2.05810546875</v>
      </c>
      <c r="O44">
        <f t="shared" si="7"/>
        <v>2.059326171875</v>
      </c>
      <c r="P44">
        <f t="shared" si="8"/>
        <v>2.0587158203125</v>
      </c>
      <c r="Q44">
        <f t="shared" si="9"/>
        <v>1.220703125E-3</v>
      </c>
      <c r="R44" t="str">
        <f t="shared" si="10"/>
        <v>Продолжаем</v>
      </c>
    </row>
    <row r="45" spans="2:18" x14ac:dyDescent="0.25">
      <c r="E45">
        <v>14</v>
      </c>
      <c r="F45">
        <f t="shared" si="11"/>
        <v>-0.9185180664062409</v>
      </c>
      <c r="G45">
        <f t="shared" si="12"/>
        <v>-0.9184570312499909</v>
      </c>
      <c r="H45">
        <f t="shared" si="13"/>
        <v>-0.9184875488281159</v>
      </c>
      <c r="I45">
        <f t="shared" si="14"/>
        <v>6.103515625E-5</v>
      </c>
      <c r="J45" t="str">
        <f t="shared" si="5"/>
        <v>Стоп</v>
      </c>
      <c r="M45">
        <v>14</v>
      </c>
      <c r="N45">
        <f>IF( (1-N44*LOG10(N44+1))*(1-P44*LOG10(P44+1))&lt;0, N44,P44)</f>
        <v>2.0587158203125</v>
      </c>
      <c r="O45">
        <f>IF( (1-O44*LOG10(O44+1))*(1-P44*LOG10(P44+1))&lt;0, O44,P44)</f>
        <v>2.059326171875</v>
      </c>
      <c r="P45" s="18">
        <f>(N45+O45)/2</f>
        <v>2.05902099609375</v>
      </c>
      <c r="Q45">
        <f>ABS(N45-O45)</f>
        <v>6.103515625E-4</v>
      </c>
      <c r="R45" t="str">
        <f>IF(Q45&lt;$H$27, "Стоп","Продолжаем")</f>
        <v>Стоп</v>
      </c>
    </row>
    <row r="46" spans="2:18" x14ac:dyDescent="0.25">
      <c r="E46">
        <v>15</v>
      </c>
      <c r="F46">
        <f t="shared" si="11"/>
        <v>-0.9184875488281159</v>
      </c>
      <c r="G46">
        <f t="shared" si="12"/>
        <v>-0.9184570312499909</v>
      </c>
      <c r="H46">
        <f t="shared" si="13"/>
        <v>-0.9184722900390534</v>
      </c>
      <c r="I46">
        <f t="shared" si="14"/>
        <v>3.0517578125E-5</v>
      </c>
      <c r="J46" t="str">
        <f t="shared" si="5"/>
        <v>Стоп</v>
      </c>
      <c r="M46">
        <v>15</v>
      </c>
      <c r="N46">
        <f t="shared" ref="N46:N52" si="15">IF( (1-N45*LOG10(N45+1))*(1-P45*LOG10(P45+1))&lt;0, N45,P45)</f>
        <v>2.05902099609375</v>
      </c>
      <c r="O46">
        <f t="shared" ref="O46:O52" si="16">IF( (1-O45*LOG10(O45+1))*(1-P45*LOG10(P45+1))&lt;0, O45,P45)</f>
        <v>2.059326171875</v>
      </c>
      <c r="P46">
        <f t="shared" ref="P46:P52" si="17">(N46+O46)/2</f>
        <v>2.059173583984375</v>
      </c>
      <c r="Q46">
        <f t="shared" ref="Q46:Q52" si="18">ABS(N46-O46)</f>
        <v>3.0517578125E-4</v>
      </c>
      <c r="R46" t="str">
        <f t="shared" si="10"/>
        <v>Стоп</v>
      </c>
    </row>
    <row r="47" spans="2:18" x14ac:dyDescent="0.25">
      <c r="M47">
        <v>16</v>
      </c>
      <c r="N47">
        <f t="shared" si="15"/>
        <v>2.059173583984375</v>
      </c>
      <c r="O47">
        <f t="shared" si="16"/>
        <v>2.059326171875</v>
      </c>
      <c r="P47">
        <f t="shared" si="17"/>
        <v>2.0592498779296875</v>
      </c>
      <c r="Q47">
        <f t="shared" si="18"/>
        <v>1.52587890625E-4</v>
      </c>
      <c r="R47" t="str">
        <f t="shared" si="10"/>
        <v>Стоп</v>
      </c>
    </row>
    <row r="48" spans="2:18" x14ac:dyDescent="0.25">
      <c r="M48">
        <v>17</v>
      </c>
      <c r="N48">
        <f t="shared" si="15"/>
        <v>2.059173583984375</v>
      </c>
      <c r="O48">
        <f t="shared" si="16"/>
        <v>2.0592498779296875</v>
      </c>
      <c r="P48">
        <f t="shared" si="17"/>
        <v>2.0592117309570313</v>
      </c>
      <c r="Q48">
        <f t="shared" si="18"/>
        <v>7.62939453125E-5</v>
      </c>
      <c r="R48" t="str">
        <f t="shared" si="10"/>
        <v>Стоп</v>
      </c>
    </row>
    <row r="49" spans="13:18" x14ac:dyDescent="0.25">
      <c r="M49">
        <v>18</v>
      </c>
      <c r="N49">
        <f t="shared" si="15"/>
        <v>2.0592117309570313</v>
      </c>
      <c r="O49">
        <f t="shared" si="16"/>
        <v>2.0592498779296875</v>
      </c>
      <c r="P49">
        <f t="shared" si="17"/>
        <v>2.0592308044433594</v>
      </c>
      <c r="Q49">
        <f t="shared" si="18"/>
        <v>3.814697265625E-5</v>
      </c>
      <c r="R49" t="str">
        <f t="shared" si="10"/>
        <v>Стоп</v>
      </c>
    </row>
    <row r="50" spans="13:18" x14ac:dyDescent="0.25">
      <c r="M50">
        <v>19</v>
      </c>
      <c r="N50">
        <f t="shared" si="15"/>
        <v>2.0592308044433594</v>
      </c>
      <c r="O50">
        <f t="shared" si="16"/>
        <v>2.0592498779296875</v>
      </c>
      <c r="P50">
        <f t="shared" si="17"/>
        <v>2.0592403411865234</v>
      </c>
      <c r="Q50">
        <f t="shared" si="18"/>
        <v>1.9073486328125E-5</v>
      </c>
      <c r="R50" t="str">
        <f t="shared" si="10"/>
        <v>Стоп</v>
      </c>
    </row>
    <row r="51" spans="13:18" x14ac:dyDescent="0.25">
      <c r="M51">
        <v>20</v>
      </c>
      <c r="N51">
        <f t="shared" si="15"/>
        <v>2.0592403411865234</v>
      </c>
      <c r="O51">
        <f t="shared" si="16"/>
        <v>2.0592498779296875</v>
      </c>
      <c r="P51">
        <f t="shared" si="17"/>
        <v>2.0592451095581055</v>
      </c>
      <c r="Q51">
        <f t="shared" si="18"/>
        <v>9.5367431640625E-6</v>
      </c>
      <c r="R51" t="str">
        <f t="shared" si="10"/>
        <v>Стоп</v>
      </c>
    </row>
    <row r="52" spans="13:18" x14ac:dyDescent="0.25">
      <c r="M52">
        <v>21</v>
      </c>
      <c r="N52">
        <f t="shared" si="15"/>
        <v>2.0592451095581055</v>
      </c>
      <c r="O52">
        <f t="shared" si="16"/>
        <v>2.0592498779296875</v>
      </c>
      <c r="P52">
        <f t="shared" si="17"/>
        <v>2.0592474937438965</v>
      </c>
      <c r="Q52">
        <f t="shared" si="18"/>
        <v>4.76837158203125E-6</v>
      </c>
      <c r="R52" t="str">
        <f t="shared" si="10"/>
        <v>Стоп</v>
      </c>
    </row>
  </sheetData>
  <mergeCells count="3">
    <mergeCell ref="B2:C2"/>
    <mergeCell ref="E28:J28"/>
    <mergeCell ref="M28:Q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Метод простых итераций</vt:lpstr>
      <vt:lpstr>Метод Ньютона</vt:lpstr>
      <vt:lpstr>Метод половинного деления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Косован</dc:creator>
  <cp:lastModifiedBy>Михаил Косован</cp:lastModifiedBy>
  <dcterms:created xsi:type="dcterms:W3CDTF">2020-09-25T04:55:05Z</dcterms:created>
  <dcterms:modified xsi:type="dcterms:W3CDTF">2020-10-13T14:16:43Z</dcterms:modified>
</cp:coreProperties>
</file>