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Mikha\Desktop\GUU\4course1\ЧМ\"/>
    </mc:Choice>
  </mc:AlternateContent>
  <xr:revisionPtr revIDLastSave="0" documentId="13_ncr:1_{8ABBEB00-3479-4CE8-8ADF-EB97325FAA9A}" xr6:coauthVersionLast="45" xr6:coauthVersionMax="45" xr10:uidLastSave="{00000000-0000-0000-0000-000000000000}"/>
  <bookViews>
    <workbookView xWindow="-120" yWindow="-120" windowWidth="29040" windowHeight="15840" xr2:uid="{D9661184-80DE-4216-AD08-1DB416CF82D6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31" i="1" l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30" i="1"/>
  <c r="AT23" i="1"/>
  <c r="AS23" i="1"/>
  <c r="AS22" i="1"/>
  <c r="AR23" i="1"/>
  <c r="AR22" i="1"/>
  <c r="AR21" i="1"/>
  <c r="AQ21" i="1"/>
  <c r="AQ22" i="1"/>
  <c r="AQ23" i="1"/>
  <c r="AQ20" i="1"/>
  <c r="AP20" i="1"/>
  <c r="AP21" i="1"/>
  <c r="AP22" i="1"/>
  <c r="AP23" i="1"/>
  <c r="AP19" i="1"/>
  <c r="AO23" i="1"/>
  <c r="AO19" i="1"/>
  <c r="AO20" i="1"/>
  <c r="AO21" i="1"/>
  <c r="AO22" i="1"/>
  <c r="AO18" i="1"/>
  <c r="AN23" i="1"/>
  <c r="AN18" i="1"/>
  <c r="AN19" i="1"/>
  <c r="AN20" i="1"/>
  <c r="AN21" i="1"/>
  <c r="AN22" i="1"/>
  <c r="AN17" i="1"/>
  <c r="AJ14" i="1"/>
  <c r="AJ13" i="1"/>
  <c r="AJ12" i="1"/>
  <c r="AJ11" i="1"/>
  <c r="AJ10" i="1"/>
  <c r="AJ9" i="1"/>
  <c r="AJ8" i="1"/>
  <c r="AJ7" i="1"/>
  <c r="Z18" i="1" a="1"/>
  <c r="Z24" i="1" a="1"/>
  <c r="Z30" i="1" a="1"/>
  <c r="Z36" i="1" a="1"/>
  <c r="Z32" i="1" a="1"/>
  <c r="Z33" i="1" a="1"/>
  <c r="Z40" i="1" a="1"/>
  <c r="Z25" i="1" a="1"/>
  <c r="Z38" i="1" a="1"/>
  <c r="Z22" i="1" a="1"/>
  <c r="Z23" i="1" a="1"/>
  <c r="Z19" i="1" a="1"/>
  <c r="Z31" i="1" a="1"/>
  <c r="Z37" i="1" a="1"/>
  <c r="Z39" i="1" a="1"/>
  <c r="Z34" i="1" a="1"/>
  <c r="Z29" i="1" a="1"/>
  <c r="Z26" i="1" a="1"/>
  <c r="Z20" i="1" a="1"/>
  <c r="Z21" i="1" a="1"/>
  <c r="Z27" i="1" a="1"/>
  <c r="Z28" i="1" a="1"/>
  <c r="Z35" i="1" a="1"/>
  <c r="W17" i="1" a="1"/>
  <c r="W18" i="1" a="1"/>
  <c r="W24" i="1" a="1"/>
  <c r="W30" i="1" a="1"/>
  <c r="W36" i="1" a="1"/>
  <c r="W25" i="1" a="1"/>
  <c r="W31" i="1" a="1"/>
  <c r="W37" i="1" a="1"/>
  <c r="W35" i="1" a="1"/>
  <c r="W19" i="1" a="1"/>
  <c r="W26" i="1" a="1"/>
  <c r="W20" i="1" a="1"/>
  <c r="W32" i="1" a="1"/>
  <c r="W38" i="1" a="1"/>
  <c r="W21" i="1" a="1"/>
  <c r="W27" i="1" a="1"/>
  <c r="W33" i="1" a="1"/>
  <c r="W39" i="1" a="1"/>
  <c r="W28" i="1" a="1"/>
  <c r="W34" i="1" a="1"/>
  <c r="W40" i="1" a="1"/>
  <c r="W22" i="1" a="1"/>
  <c r="W23" i="1" a="1"/>
  <c r="W29" i="1" a="1"/>
  <c r="W29" i="1" l="1"/>
  <c r="W23" i="1"/>
  <c r="W22" i="1"/>
  <c r="W40" i="1"/>
  <c r="W34" i="1"/>
  <c r="W28" i="1"/>
  <c r="W39" i="1"/>
  <c r="W33" i="1"/>
  <c r="W27" i="1"/>
  <c r="W21" i="1"/>
  <c r="W38" i="1"/>
  <c r="W32" i="1"/>
  <c r="W20" i="1"/>
  <c r="W26" i="1"/>
  <c r="W19" i="1"/>
  <c r="W35" i="1"/>
  <c r="W37" i="1"/>
  <c r="W31" i="1"/>
  <c r="W25" i="1"/>
  <c r="W36" i="1"/>
  <c r="W30" i="1"/>
  <c r="W24" i="1"/>
  <c r="W18" i="1"/>
  <c r="Z35" i="1"/>
  <c r="Z28" i="1"/>
  <c r="Z27" i="1"/>
  <c r="Z21" i="1"/>
  <c r="Z20" i="1"/>
  <c r="Z26" i="1"/>
  <c r="Z29" i="1"/>
  <c r="Z34" i="1"/>
  <c r="Z39" i="1"/>
  <c r="Z37" i="1"/>
  <c r="Z31" i="1"/>
  <c r="Z19" i="1"/>
  <c r="Z23" i="1"/>
  <c r="Z22" i="1"/>
  <c r="Z38" i="1"/>
  <c r="Z25" i="1"/>
  <c r="Z40" i="1"/>
  <c r="Z33" i="1"/>
  <c r="Z32" i="1"/>
  <c r="Z36" i="1"/>
  <c r="Z30" i="1"/>
  <c r="Z24" i="1"/>
  <c r="Z18" i="1"/>
  <c r="W17" i="1"/>
  <c r="G53" i="1"/>
  <c r="G38" i="1"/>
  <c r="G34" i="1"/>
  <c r="G33" i="1"/>
  <c r="C33" i="1"/>
  <c r="C32" i="1"/>
  <c r="C31" i="1"/>
  <c r="G30" i="1"/>
  <c r="C30" i="1"/>
  <c r="C29" i="1"/>
  <c r="C28" i="1"/>
  <c r="C27" i="1"/>
  <c r="C26" i="1"/>
  <c r="C25" i="1"/>
  <c r="C24" i="1"/>
  <c r="C23" i="1"/>
  <c r="C22" i="1"/>
  <c r="Q21" i="1"/>
  <c r="P21" i="1"/>
  <c r="O21" i="1"/>
  <c r="N21" i="1"/>
  <c r="M21" i="1"/>
  <c r="L21" i="1"/>
  <c r="K21" i="1"/>
  <c r="J21" i="1"/>
  <c r="C21" i="1"/>
  <c r="N20" i="1"/>
  <c r="M20" i="1"/>
  <c r="L20" i="1"/>
  <c r="K20" i="1"/>
  <c r="J20" i="1"/>
  <c r="P20" i="1" s="1"/>
  <c r="C20" i="1"/>
  <c r="T19" i="1"/>
  <c r="N19" i="1"/>
  <c r="M19" i="1"/>
  <c r="L19" i="1"/>
  <c r="K19" i="1"/>
  <c r="J19" i="1"/>
  <c r="P19" i="1" s="1"/>
  <c r="C19" i="1"/>
  <c r="T18" i="1"/>
  <c r="N18" i="1"/>
  <c r="M18" i="1"/>
  <c r="L18" i="1"/>
  <c r="K18" i="1"/>
  <c r="J18" i="1"/>
  <c r="P18" i="1" s="1"/>
  <c r="C18" i="1"/>
  <c r="T17" i="1"/>
  <c r="Q17" i="1"/>
  <c r="N17" i="1"/>
  <c r="M17" i="1"/>
  <c r="L17" i="1"/>
  <c r="K17" i="1"/>
  <c r="J17" i="1"/>
  <c r="P17" i="1" s="1"/>
  <c r="F17" i="1"/>
  <c r="C17" i="1"/>
  <c r="T16" i="1"/>
  <c r="P16" i="1"/>
  <c r="M16" i="1"/>
  <c r="L16" i="1"/>
  <c r="K16" i="1"/>
  <c r="J16" i="1"/>
  <c r="O16" i="1" s="1"/>
  <c r="F16" i="1"/>
  <c r="Q20" i="1" s="1"/>
  <c r="C16" i="1"/>
  <c r="T15" i="1"/>
  <c r="J15" i="1"/>
  <c r="L15" i="1" s="1"/>
  <c r="F15" i="1"/>
  <c r="G51" i="1" s="1"/>
  <c r="C15" i="1"/>
  <c r="T14" i="1"/>
  <c r="J14" i="1"/>
  <c r="O14" i="1" s="1"/>
  <c r="F14" i="1"/>
  <c r="G45" i="1" s="1"/>
  <c r="C14" i="1"/>
  <c r="T13" i="1"/>
  <c r="W11" i="1" s="1" a="1"/>
  <c r="W11" i="1" s="1"/>
  <c r="F13" i="1"/>
  <c r="G44" i="1" s="1"/>
  <c r="C13" i="1"/>
  <c r="T12" i="1"/>
  <c r="F12" i="1"/>
  <c r="G37" i="1" s="1"/>
  <c r="C12" i="1"/>
  <c r="F11" i="1"/>
  <c r="Q15" i="1" s="1"/>
  <c r="C11" i="1"/>
  <c r="F10" i="1"/>
  <c r="G32" i="1" s="1"/>
  <c r="C10" i="1"/>
  <c r="Z17" i="1" a="1"/>
  <c r="Z17" i="1" l="1"/>
  <c r="G46" i="1"/>
  <c r="G52" i="1"/>
  <c r="K15" i="1"/>
  <c r="G47" i="1"/>
  <c r="K14" i="1"/>
  <c r="L14" i="1"/>
  <c r="G42" i="1"/>
  <c r="G48" i="1"/>
  <c r="M15" i="1"/>
  <c r="N16" i="1"/>
  <c r="O17" i="1"/>
  <c r="O18" i="1"/>
  <c r="O19" i="1"/>
  <c r="O20" i="1"/>
  <c r="M14" i="1"/>
  <c r="N15" i="1"/>
  <c r="G35" i="1"/>
  <c r="N14" i="1"/>
  <c r="Q18" i="1"/>
  <c r="Q19" i="1"/>
  <c r="G31" i="1"/>
  <c r="G39" i="1"/>
  <c r="G43" i="1"/>
  <c r="G49" i="1"/>
  <c r="P15" i="1"/>
  <c r="O15" i="1"/>
  <c r="P14" i="1"/>
  <c r="G36" i="1"/>
  <c r="G50" i="1"/>
  <c r="G41" i="1"/>
  <c r="Q16" i="1"/>
  <c r="Q14" i="1"/>
  <c r="G40" i="1"/>
  <c r="P10" i="1" l="1"/>
  <c r="I24" i="1" a="1"/>
  <c r="P30" i="1" l="1"/>
  <c r="L29" i="1"/>
  <c r="P27" i="1"/>
  <c r="L26" i="1"/>
  <c r="P24" i="1"/>
  <c r="O30" i="1"/>
  <c r="K29" i="1"/>
  <c r="O27" i="1"/>
  <c r="K26" i="1"/>
  <c r="O24" i="1"/>
  <c r="N30" i="1"/>
  <c r="J29" i="1"/>
  <c r="N27" i="1"/>
  <c r="J26" i="1"/>
  <c r="N24" i="1"/>
  <c r="J31" i="1"/>
  <c r="M30" i="1"/>
  <c r="I29" i="1"/>
  <c r="M27" i="1"/>
  <c r="I26" i="1"/>
  <c r="M24" i="1"/>
  <c r="J28" i="1"/>
  <c r="P31" i="1"/>
  <c r="L30" i="1"/>
  <c r="P28" i="1"/>
  <c r="L27" i="1"/>
  <c r="P25" i="1"/>
  <c r="L24" i="1"/>
  <c r="O31" i="1"/>
  <c r="K30" i="1"/>
  <c r="O28" i="1"/>
  <c r="K27" i="1"/>
  <c r="O25" i="1"/>
  <c r="K24" i="1"/>
  <c r="N31" i="1"/>
  <c r="J30" i="1"/>
  <c r="N28" i="1"/>
  <c r="J27" i="1"/>
  <c r="N25" i="1"/>
  <c r="J24" i="1"/>
  <c r="N29" i="1"/>
  <c r="N26" i="1"/>
  <c r="M31" i="1"/>
  <c r="I30" i="1"/>
  <c r="M28" i="1"/>
  <c r="I27" i="1"/>
  <c r="M25" i="1"/>
  <c r="I24" i="1"/>
  <c r="P26" i="1"/>
  <c r="K31" i="1"/>
  <c r="O29" i="1"/>
  <c r="K28" i="1"/>
  <c r="O26" i="1"/>
  <c r="K25" i="1"/>
  <c r="L31" i="1"/>
  <c r="P29" i="1"/>
  <c r="L28" i="1"/>
  <c r="L25" i="1"/>
  <c r="I31" i="1"/>
  <c r="M29" i="1"/>
  <c r="I28" i="1"/>
  <c r="M26" i="1"/>
  <c r="I25" i="1"/>
  <c r="J25" i="1"/>
  <c r="J33" i="1" l="1" a="1"/>
  <c r="J40" i="1" l="1"/>
  <c r="J39" i="1"/>
  <c r="J38" i="1"/>
  <c r="J37" i="1"/>
  <c r="J36" i="1"/>
  <c r="J35" i="1"/>
  <c r="J34" i="1"/>
  <c r="J33" i="1"/>
  <c r="M61" i="1" l="1"/>
  <c r="M51" i="1"/>
  <c r="M45" i="1"/>
  <c r="M40" i="1"/>
  <c r="M60" i="1"/>
  <c r="M59" i="1"/>
  <c r="M50" i="1"/>
  <c r="M44" i="1"/>
  <c r="M58" i="1"/>
  <c r="M57" i="1"/>
  <c r="M49" i="1"/>
  <c r="M43" i="1"/>
  <c r="M39" i="1"/>
  <c r="M56" i="1"/>
  <c r="M55" i="1"/>
  <c r="M48" i="1"/>
  <c r="M42" i="1"/>
  <c r="M54" i="1"/>
  <c r="M52" i="1"/>
  <c r="M53" i="1"/>
  <c r="M47" i="1"/>
  <c r="M41" i="1"/>
  <c r="M38" i="1"/>
  <c r="M4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<sst xmlns="http://schemas.openxmlformats.org/spreadsheetml/2006/main" count="80" uniqueCount="38">
  <si>
    <t>Кусочно-линейная интерполяция</t>
  </si>
  <si>
    <t>Интерполяция многочленом</t>
  </si>
  <si>
    <t>Интерполяция многочленом Лагранжа</t>
  </si>
  <si>
    <t>Условие</t>
  </si>
  <si>
    <t>Уравнение</t>
  </si>
  <si>
    <t>x*lg(x+1)=1</t>
  </si>
  <si>
    <t>Погрешность</t>
  </si>
  <si>
    <t>10^(-3)</t>
  </si>
  <si>
    <t>Исходная функция</t>
  </si>
  <si>
    <t>x</t>
  </si>
  <si>
    <t>y=x*lg(x+1)-1</t>
  </si>
  <si>
    <t>f(x)</t>
  </si>
  <si>
    <t>Определитель матрицы</t>
  </si>
  <si>
    <t>a_0</t>
  </si>
  <si>
    <t>a_1</t>
  </si>
  <si>
    <t>a_2</t>
  </si>
  <si>
    <t>a_3</t>
  </si>
  <si>
    <t>a_4</t>
  </si>
  <si>
    <t>a_5</t>
  </si>
  <si>
    <t>a_6</t>
  </si>
  <si>
    <t>a_7</t>
  </si>
  <si>
    <t>f(x_i)</t>
  </si>
  <si>
    <t>Ln(x)</t>
  </si>
  <si>
    <t>Обратная матрица</t>
  </si>
  <si>
    <t>Промежуток</t>
  </si>
  <si>
    <t>g(x)</t>
  </si>
  <si>
    <t>[-0.999999;0]</t>
  </si>
  <si>
    <t>[0;2]</t>
  </si>
  <si>
    <t>[2;4]</t>
  </si>
  <si>
    <t>F(x)</t>
  </si>
  <si>
    <t>[4;6]</t>
  </si>
  <si>
    <t>[6;8]</t>
  </si>
  <si>
    <t>[8;10]</t>
  </si>
  <si>
    <t>[10;12]</t>
  </si>
  <si>
    <t>Интерполяция многочленом Ньютона</t>
  </si>
  <si>
    <t>x_i</t>
  </si>
  <si>
    <t>i</t>
  </si>
  <si>
    <t>H_7 (x)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</si>
</sst>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00000"/>
    <numFmt numFmtId="166" formatCode="0.000000000000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/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rgb="FF7030A0"/>
      </left>
      <right style="thin">
        <color rgb="FF7030A0"/>
      </right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 applyAlignment="1">
      <alignment horizontal="center"/>
    </xf>
    <xf numFmtId="0" fontId="5" fillId="0" borderId="1" xfId="0" applyFont="1" applyBorder="1"/>
    <xf numFmtId="0" fontId="5" fillId="0" borderId="0" xfId="0" applyFont="1"/>
    <xf numFmtId="0" fontId="0" fillId="0" borderId="2" xfId="0" applyBorder="1"/>
    <xf numFmtId="164" fontId="5" fillId="0" borderId="1" xfId="0" applyNumberFormat="1" applyFont="1" applyBorder="1"/>
    <xf numFmtId="165" fontId="5" fillId="0" borderId="1" xfId="0" applyNumberFormat="1" applyFont="1" applyBorder="1"/>
    <xf numFmtId="166" fontId="5" fillId="0" borderId="1" xfId="0" applyNumberFormat="1" applyFont="1" applyBorder="1"/>
    <xf numFmtId="1" fontId="5" fillId="0" borderId="1" xfId="0" applyNumberFormat="1" applyFont="1" applyBorder="1"/>
    <xf numFmtId="0" fontId="5" fillId="0" borderId="3" xfId="0" applyFont="1" applyBorder="1"/>
    <xf numFmtId="0" fontId="0" fillId="0" borderId="3" xfId="0" applyBorder="1"/>
    <xf numFmtId="164" fontId="5" fillId="0" borderId="3" xfId="0" applyNumberFormat="1" applyFont="1" applyBorder="1"/>
    <xf numFmtId="0" fontId="0" fillId="0" borderId="4" xfId="0" applyBorder="1"/>
    <xf numFmtId="0" fontId="5" fillId="0" borderId="3" xfId="0" applyFont="1" applyBorder="1" applyAlignment="1">
      <alignment horizontal="center"/>
    </xf>
    <xf numFmtId="0" fontId="0" fillId="0" borderId="1" xfId="0" applyBorder="1"/>
    <xf numFmtId="0" fontId="0" fillId="0" borderId="5" xfId="0" applyBorder="1"/>
    <xf numFmtId="0" fontId="0" fillId="0" borderId="6" xfId="0" applyFill="1" applyBorder="1"/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Сравнительный</a:t>
            </a:r>
            <a:r>
              <a:rPr lang="ru-RU" baseline="0"/>
              <a:t> график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Исходная функция</c:v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Лист1!$B$10:$B$33</c:f>
              <c:numCache>
                <c:formatCode>General</c:formatCode>
                <c:ptCount val="24"/>
                <c:pt idx="0" formatCode="0.00000">
                  <c:v>-0.99999000000000005</c:v>
                </c:pt>
                <c:pt idx="1">
                  <c:v>-0.5</c:v>
                </c:pt>
                <c:pt idx="2">
                  <c:v>-1.00000000000655E-5</c:v>
                </c:pt>
                <c:pt idx="3">
                  <c:v>0.49997999999999998</c:v>
                </c:pt>
                <c:pt idx="4">
                  <c:v>0.99997000000000003</c:v>
                </c:pt>
                <c:pt idx="5">
                  <c:v>1.49996</c:v>
                </c:pt>
                <c:pt idx="6">
                  <c:v>1.9999499999999999</c:v>
                </c:pt>
                <c:pt idx="7">
                  <c:v>2.4999400000000001</c:v>
                </c:pt>
                <c:pt idx="8">
                  <c:v>2.99993</c:v>
                </c:pt>
                <c:pt idx="9">
                  <c:v>3.4999199999999999</c:v>
                </c:pt>
                <c:pt idx="10">
                  <c:v>3.9999099999999999</c:v>
                </c:pt>
                <c:pt idx="11">
                  <c:v>4.4999000000000002</c:v>
                </c:pt>
                <c:pt idx="12">
                  <c:v>4.9998899999999997</c:v>
                </c:pt>
                <c:pt idx="13">
                  <c:v>5.4998800000000001</c:v>
                </c:pt>
                <c:pt idx="14">
                  <c:v>5.9998699999999996</c:v>
                </c:pt>
                <c:pt idx="15">
                  <c:v>6.49986</c:v>
                </c:pt>
                <c:pt idx="16">
                  <c:v>6.9998500000000003</c:v>
                </c:pt>
                <c:pt idx="17">
                  <c:v>7.4998399999999998</c:v>
                </c:pt>
                <c:pt idx="18">
                  <c:v>7.9998300000000002</c:v>
                </c:pt>
                <c:pt idx="19">
                  <c:v>8.4998199999999997</c:v>
                </c:pt>
                <c:pt idx="20">
                  <c:v>8.9998100000000001</c:v>
                </c:pt>
                <c:pt idx="21">
                  <c:v>9.4998000000000005</c:v>
                </c:pt>
                <c:pt idx="22">
                  <c:v>9.9997900000000008</c:v>
                </c:pt>
                <c:pt idx="23">
                  <c:v>10.499779999999999</c:v>
                </c:pt>
              </c:numCache>
            </c:numRef>
          </c:cat>
          <c:val>
            <c:numRef>
              <c:f>Лист1!$C$10:$C$33</c:f>
              <c:numCache>
                <c:formatCode>General</c:formatCode>
                <c:ptCount val="24"/>
                <c:pt idx="0">
                  <c:v>3.9999500000019763</c:v>
                </c:pt>
                <c:pt idx="1">
                  <c:v>-0.84948500216800937</c:v>
                </c:pt>
                <c:pt idx="2">
                  <c:v>-0.9999999999565703</c:v>
                </c:pt>
                <c:pt idx="3">
                  <c:v>-0.91196078749737608</c:v>
                </c:pt>
                <c:pt idx="4">
                  <c:v>-0.6989855495065419</c:v>
                </c:pt>
                <c:pt idx="5">
                  <c:v>-0.40311632746529102</c:v>
                </c:pt>
                <c:pt idx="6">
                  <c:v>-4.5795822864864832E-2</c:v>
                </c:pt>
                <c:pt idx="7">
                  <c:v>0.36011885445954328</c:v>
                </c:pt>
                <c:pt idx="8">
                  <c:v>0.80611502965670345</c:v>
                </c:pt>
                <c:pt idx="9">
                  <c:v>1.286164518822301</c:v>
                </c:pt>
                <c:pt idx="10">
                  <c:v>1.7957858412631249</c:v>
                </c:pt>
                <c:pt idx="11">
                  <c:v>2.3315225337368655</c:v>
                </c:pt>
                <c:pt idx="12">
                  <c:v>2.8906308454640706</c:v>
                </c:pt>
                <c:pt idx="13">
                  <c:v>3.4708818148944394</c:v>
                </c:pt>
                <c:pt idx="14">
                  <c:v>4.0704299851257941</c:v>
                </c:pt>
                <c:pt idx="15">
                  <c:v>4.6877230097151843</c:v>
                </c:pt>
                <c:pt idx="16">
                  <c:v>5.3214374449818784</c:v>
                </c:pt>
                <c:pt idx="17">
                  <c:v>5.9704319243978725</c:v>
                </c:pt>
                <c:pt idx="18">
                  <c:v>6.6337122283410501</c:v>
                </c:pt>
                <c:pt idx="19">
                  <c:v>7.310404711255611</c:v>
                </c:pt>
                <c:pt idx="20">
                  <c:v>7.9997357365058921</c:v>
                </c:pt>
                <c:pt idx="21">
                  <c:v>8.7010155175900792</c:v>
                </c:pt>
                <c:pt idx="22">
                  <c:v>9.4136252493033528</c:v>
                </c:pt>
                <c:pt idx="23">
                  <c:v>10.137006734637673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0B-4B79-B041-A253B9AC973C}"/>
            </c:ext>
          </c:extLst>
        </c:ser>
        <c:ser>
          <c:idx val="1"/>
          <c:order val="1"/>
          <c:tx>
            <c:v>Кусочно-линейная</c:v>
          </c:tx>
          <c:spPr>
            <a:ln w="31750" cap="rnd">
              <a:solidFill>
                <a:srgbClr val="0070C0">
                  <a:alpha val="66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Лист1!$B$10:$B$33</c:f>
              <c:numCache>
                <c:formatCode>General</c:formatCode>
                <c:ptCount val="24"/>
                <c:pt idx="0" formatCode="0.00000">
                  <c:v>-0.99999000000000005</c:v>
                </c:pt>
                <c:pt idx="1">
                  <c:v>-0.5</c:v>
                </c:pt>
                <c:pt idx="2">
                  <c:v>-1.00000000000655E-5</c:v>
                </c:pt>
                <c:pt idx="3">
                  <c:v>0.49997999999999998</c:v>
                </c:pt>
                <c:pt idx="4">
                  <c:v>0.99997000000000003</c:v>
                </c:pt>
                <c:pt idx="5">
                  <c:v>1.49996</c:v>
                </c:pt>
                <c:pt idx="6">
                  <c:v>1.9999499999999999</c:v>
                </c:pt>
                <c:pt idx="7">
                  <c:v>2.4999400000000001</c:v>
                </c:pt>
                <c:pt idx="8">
                  <c:v>2.99993</c:v>
                </c:pt>
                <c:pt idx="9">
                  <c:v>3.4999199999999999</c:v>
                </c:pt>
                <c:pt idx="10">
                  <c:v>3.9999099999999999</c:v>
                </c:pt>
                <c:pt idx="11">
                  <c:v>4.4999000000000002</c:v>
                </c:pt>
                <c:pt idx="12">
                  <c:v>4.9998899999999997</c:v>
                </c:pt>
                <c:pt idx="13">
                  <c:v>5.4998800000000001</c:v>
                </c:pt>
                <c:pt idx="14">
                  <c:v>5.9998699999999996</c:v>
                </c:pt>
                <c:pt idx="15">
                  <c:v>6.49986</c:v>
                </c:pt>
                <c:pt idx="16">
                  <c:v>6.9998500000000003</c:v>
                </c:pt>
                <c:pt idx="17">
                  <c:v>7.4998399999999998</c:v>
                </c:pt>
                <c:pt idx="18">
                  <c:v>7.9998300000000002</c:v>
                </c:pt>
                <c:pt idx="19">
                  <c:v>8.4998199999999997</c:v>
                </c:pt>
                <c:pt idx="20">
                  <c:v>8.9998100000000001</c:v>
                </c:pt>
                <c:pt idx="21">
                  <c:v>9.4998000000000005</c:v>
                </c:pt>
                <c:pt idx="22">
                  <c:v>9.9997900000000008</c:v>
                </c:pt>
                <c:pt idx="23">
                  <c:v>10.499779999999999</c:v>
                </c:pt>
              </c:numCache>
            </c:numRef>
          </c:cat>
          <c:val>
            <c:numRef>
              <c:f>Лист1!$G$30:$G$53</c:f>
              <c:numCache>
                <c:formatCode>General</c:formatCode>
                <c:ptCount val="24"/>
                <c:pt idx="0">
                  <c:v>4.9999399999875118</c:v>
                </c:pt>
                <c:pt idx="1">
                  <c:v>1.9999999999937561</c:v>
                </c:pt>
                <c:pt idx="2">
                  <c:v>-0.99993999999999961</c:v>
                </c:pt>
                <c:pt idx="3">
                  <c:v>-0.76144891506526324</c:v>
                </c:pt>
                <c:pt idx="4">
                  <c:v>-0.52289305891797921</c:v>
                </c:pt>
                <c:pt idx="5">
                  <c:v>-0.28433720277069519</c:v>
                </c:pt>
                <c:pt idx="6">
                  <c:v>-4.5781346623411157E-2</c:v>
                </c:pt>
                <c:pt idx="7">
                  <c:v>0.41459663729027546</c:v>
                </c:pt>
                <c:pt idx="8">
                  <c:v>0.87499680607892349</c:v>
                </c:pt>
                <c:pt idx="9">
                  <c:v>1.3353969748675718</c:v>
                </c:pt>
                <c:pt idx="10">
                  <c:v>1.7957971436562197</c:v>
                </c:pt>
                <c:pt idx="11">
                  <c:v>2.3644433376183049</c:v>
                </c:pt>
                <c:pt idx="12">
                  <c:v>2.9331090197625569</c:v>
                </c:pt>
                <c:pt idx="13">
                  <c:v>3.5017747019068102</c:v>
                </c:pt>
                <c:pt idx="14">
                  <c:v>4.0704403840510626</c:v>
                </c:pt>
                <c:pt idx="15">
                  <c:v>4.7112467643143248</c:v>
                </c:pt>
                <c:pt idx="16">
                  <c:v>5.3520719064124131</c:v>
                </c:pt>
                <c:pt idx="17">
                  <c:v>5.9928970485104998</c:v>
                </c:pt>
                <c:pt idx="18">
                  <c:v>6.6337221906085873</c:v>
                </c:pt>
                <c:pt idx="19">
                  <c:v>7.3286865707216657</c:v>
                </c:pt>
                <c:pt idx="20">
                  <c:v>8.0236693648046984</c:v>
                </c:pt>
                <c:pt idx="21">
                  <c:v>8.7186521588877319</c:v>
                </c:pt>
                <c:pt idx="22">
                  <c:v>9.4136349529707655</c:v>
                </c:pt>
                <c:pt idx="23">
                  <c:v>10.151950322335827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0B-4B79-B041-A253B9AC973C}"/>
            </c:ext>
          </c:extLst>
        </c:ser>
        <c:ser>
          <c:idx val="2"/>
          <c:order val="2"/>
          <c:tx>
            <c:v>Интерполяция многочленом</c:v>
          </c:tx>
          <c:spPr>
            <a:ln w="28575" cap="rnd">
              <a:solidFill>
                <a:srgbClr val="7030A0">
                  <a:alpha val="92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Лист1!$B$10:$B$33</c:f>
              <c:numCache>
                <c:formatCode>General</c:formatCode>
                <c:ptCount val="24"/>
                <c:pt idx="0" formatCode="0.00000">
                  <c:v>-0.99999000000000005</c:v>
                </c:pt>
                <c:pt idx="1">
                  <c:v>-0.5</c:v>
                </c:pt>
                <c:pt idx="2">
                  <c:v>-1.00000000000655E-5</c:v>
                </c:pt>
                <c:pt idx="3">
                  <c:v>0.49997999999999998</c:v>
                </c:pt>
                <c:pt idx="4">
                  <c:v>0.99997000000000003</c:v>
                </c:pt>
                <c:pt idx="5">
                  <c:v>1.49996</c:v>
                </c:pt>
                <c:pt idx="6">
                  <c:v>1.9999499999999999</c:v>
                </c:pt>
                <c:pt idx="7">
                  <c:v>2.4999400000000001</c:v>
                </c:pt>
                <c:pt idx="8">
                  <c:v>2.99993</c:v>
                </c:pt>
                <c:pt idx="9">
                  <c:v>3.4999199999999999</c:v>
                </c:pt>
                <c:pt idx="10">
                  <c:v>3.9999099999999999</c:v>
                </c:pt>
                <c:pt idx="11">
                  <c:v>4.4999000000000002</c:v>
                </c:pt>
                <c:pt idx="12">
                  <c:v>4.9998899999999997</c:v>
                </c:pt>
                <c:pt idx="13">
                  <c:v>5.4998800000000001</c:v>
                </c:pt>
                <c:pt idx="14">
                  <c:v>5.9998699999999996</c:v>
                </c:pt>
                <c:pt idx="15">
                  <c:v>6.49986</c:v>
                </c:pt>
                <c:pt idx="16">
                  <c:v>6.9998500000000003</c:v>
                </c:pt>
                <c:pt idx="17">
                  <c:v>7.4998399999999998</c:v>
                </c:pt>
                <c:pt idx="18">
                  <c:v>7.9998300000000002</c:v>
                </c:pt>
                <c:pt idx="19">
                  <c:v>8.4998199999999997</c:v>
                </c:pt>
                <c:pt idx="20">
                  <c:v>8.9998100000000001</c:v>
                </c:pt>
                <c:pt idx="21">
                  <c:v>9.4998000000000005</c:v>
                </c:pt>
                <c:pt idx="22">
                  <c:v>9.9997900000000008</c:v>
                </c:pt>
                <c:pt idx="23">
                  <c:v>10.499779999999999</c:v>
                </c:pt>
              </c:numCache>
            </c:numRef>
          </c:cat>
          <c:val>
            <c:numRef>
              <c:f>Лист1!$M$38:$M$61</c:f>
              <c:numCache>
                <c:formatCode>General</c:formatCode>
                <c:ptCount val="24"/>
                <c:pt idx="0">
                  <c:v>4.9998870545414293</c:v>
                </c:pt>
                <c:pt idx="1">
                  <c:v>0.77116949957387648</c:v>
                </c:pt>
                <c:pt idx="2">
                  <c:v>-0.99998117855719415</c:v>
                </c:pt>
                <c:pt idx="3">
                  <c:v>-1.401241226712993</c:v>
                </c:pt>
                <c:pt idx="4">
                  <c:v>-1.1321432332529702</c:v>
                </c:pt>
                <c:pt idx="5">
                  <c:v>-0.60811133757941827</c:v>
                </c:pt>
                <c:pt idx="6">
                  <c:v>-4.5811961606892895E-2</c:v>
                </c:pt>
                <c:pt idx="7">
                  <c:v>0.46848568967419835</c:v>
                </c:pt>
                <c:pt idx="8">
                  <c:v>0.92584511137054171</c:v>
                </c:pt>
                <c:pt idx="9">
                  <c:v>1.3551997184260509</c:v>
                </c:pt>
                <c:pt idx="10">
                  <c:v>1.7957975547598393</c:v>
                </c:pt>
                <c:pt idx="11">
                  <c:v>2.2798592446327204</c:v>
                </c:pt>
                <c:pt idx="12">
                  <c:v>2.8237549390728645</c:v>
                </c:pt>
                <c:pt idx="13">
                  <c:v>3.426006010191526</c:v>
                </c:pt>
                <c:pt idx="14">
                  <c:v>4.0704172462189074</c:v>
                </c:pt>
                <c:pt idx="15">
                  <c:v>4.7326453000916011</c:v>
                </c:pt>
                <c:pt idx="16">
                  <c:v>5.3885091444219739</c:v>
                </c:pt>
                <c:pt idx="17">
                  <c:v>6.022348285679044</c:v>
                </c:pt>
                <c:pt idx="18">
                  <c:v>6.6337344904148381</c:v>
                </c:pt>
                <c:pt idx="19">
                  <c:v>7.2408427763617453</c:v>
                </c:pt>
                <c:pt idx="20">
                  <c:v>7.8787874212369786</c:v>
                </c:pt>
                <c:pt idx="21">
                  <c:v>8.5912287420805455</c:v>
                </c:pt>
                <c:pt idx="22">
                  <c:v>9.4135563979597805</c:v>
                </c:pt>
                <c:pt idx="23">
                  <c:v>10.345954968869478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0B-4B79-B041-A253B9AC973C}"/>
            </c:ext>
          </c:extLst>
        </c:ser>
        <c:ser>
          <c:idx val="3"/>
          <c:order val="3"/>
          <c:tx>
            <c:v>Интерполяция Лагранжем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Лист1!$B$10:$B$33</c:f>
              <c:numCache>
                <c:formatCode>General</c:formatCode>
                <c:ptCount val="24"/>
                <c:pt idx="0" formatCode="0.00000">
                  <c:v>-0.99999000000000005</c:v>
                </c:pt>
                <c:pt idx="1">
                  <c:v>-0.5</c:v>
                </c:pt>
                <c:pt idx="2">
                  <c:v>-1.00000000000655E-5</c:v>
                </c:pt>
                <c:pt idx="3">
                  <c:v>0.49997999999999998</c:v>
                </c:pt>
                <c:pt idx="4">
                  <c:v>0.99997000000000003</c:v>
                </c:pt>
                <c:pt idx="5">
                  <c:v>1.49996</c:v>
                </c:pt>
                <c:pt idx="6">
                  <c:v>1.9999499999999999</c:v>
                </c:pt>
                <c:pt idx="7">
                  <c:v>2.4999400000000001</c:v>
                </c:pt>
                <c:pt idx="8">
                  <c:v>2.99993</c:v>
                </c:pt>
                <c:pt idx="9">
                  <c:v>3.4999199999999999</c:v>
                </c:pt>
                <c:pt idx="10">
                  <c:v>3.9999099999999999</c:v>
                </c:pt>
                <c:pt idx="11">
                  <c:v>4.4999000000000002</c:v>
                </c:pt>
                <c:pt idx="12">
                  <c:v>4.9998899999999997</c:v>
                </c:pt>
                <c:pt idx="13">
                  <c:v>5.4998800000000001</c:v>
                </c:pt>
                <c:pt idx="14">
                  <c:v>5.9998699999999996</c:v>
                </c:pt>
                <c:pt idx="15">
                  <c:v>6.49986</c:v>
                </c:pt>
                <c:pt idx="16">
                  <c:v>6.9998500000000003</c:v>
                </c:pt>
                <c:pt idx="17">
                  <c:v>7.4998399999999998</c:v>
                </c:pt>
                <c:pt idx="18">
                  <c:v>7.9998300000000002</c:v>
                </c:pt>
                <c:pt idx="19">
                  <c:v>8.4998199999999997</c:v>
                </c:pt>
                <c:pt idx="20">
                  <c:v>8.9998100000000001</c:v>
                </c:pt>
                <c:pt idx="21">
                  <c:v>9.4998000000000005</c:v>
                </c:pt>
                <c:pt idx="22">
                  <c:v>9.9997900000000008</c:v>
                </c:pt>
                <c:pt idx="23">
                  <c:v>10.499779999999999</c:v>
                </c:pt>
              </c:numCache>
            </c:numRef>
          </c:cat>
          <c:val>
            <c:numRef>
              <c:f>Лист1!$W$17:$W$40</c:f>
              <c:numCache>
                <c:formatCode>General</c:formatCode>
                <c:ptCount val="24"/>
                <c:pt idx="0">
                  <c:v>4.9998870545414302</c:v>
                </c:pt>
                <c:pt idx="1">
                  <c:v>0.77116949957381442</c:v>
                </c:pt>
                <c:pt idx="2">
                  <c:v>-0.99998117855757895</c:v>
                </c:pt>
                <c:pt idx="3">
                  <c:v>-1.4012412267138363</c:v>
                </c:pt>
                <c:pt idx="4">
                  <c:v>-1.1321432332542918</c:v>
                </c:pt>
                <c:pt idx="5">
                  <c:v>-0.60811133758114733</c:v>
                </c:pt>
                <c:pt idx="6">
                  <c:v>-4.5811961608902912E-2</c:v>
                </c:pt>
                <c:pt idx="7">
                  <c:v>0.46848568967206311</c:v>
                </c:pt>
                <c:pt idx="8">
                  <c:v>0.92584511136843461</c:v>
                </c:pt>
                <c:pt idx="9">
                  <c:v>1.3551997184240858</c:v>
                </c:pt>
                <c:pt idx="10">
                  <c:v>1.7957975547580736</c:v>
                </c:pt>
                <c:pt idx="11">
                  <c:v>2.2798592446311501</c:v>
                </c:pt>
                <c:pt idx="12">
                  <c:v>2.8237549390714687</c:v>
                </c:pt>
                <c:pt idx="13">
                  <c:v>3.4260060101901679</c:v>
                </c:pt>
                <c:pt idx="14">
                  <c:v>4.0704172462174668</c:v>
                </c:pt>
                <c:pt idx="15">
                  <c:v>4.7326453000899864</c:v>
                </c:pt>
                <c:pt idx="16">
                  <c:v>5.3885091444199107</c:v>
                </c:pt>
                <c:pt idx="17">
                  <c:v>6.0223482856767214</c:v>
                </c:pt>
                <c:pt idx="18">
                  <c:v>6.6337344904121194</c:v>
                </c:pt>
                <c:pt idx="19">
                  <c:v>7.2408427763588143</c:v>
                </c:pt>
                <c:pt idx="20">
                  <c:v>7.8787874212338824</c:v>
                </c:pt>
                <c:pt idx="21">
                  <c:v>8.5912287420773215</c:v>
                </c:pt>
                <c:pt idx="22">
                  <c:v>9.4135563979564871</c:v>
                </c:pt>
                <c:pt idx="23">
                  <c:v>10.345954968867092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0B-4B79-B041-A253B9AC973C}"/>
            </c:ext>
          </c:extLst>
        </c:ser>
        <c:ser>
          <c:idx val="4"/>
          <c:order val="4"/>
          <c:tx>
            <c:v>Интерполяция Ньютоном</c:v>
          </c:tx>
          <c:spPr>
            <a:ln w="28575" cap="rnd">
              <a:solidFill>
                <a:srgbClr val="002060">
                  <a:alpha val="96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Лист1!$B$10:$B$33</c:f>
              <c:numCache>
                <c:formatCode>General</c:formatCode>
                <c:ptCount val="24"/>
                <c:pt idx="0" formatCode="0.00000">
                  <c:v>-0.99999000000000005</c:v>
                </c:pt>
                <c:pt idx="1">
                  <c:v>-0.5</c:v>
                </c:pt>
                <c:pt idx="2">
                  <c:v>-1.00000000000655E-5</c:v>
                </c:pt>
                <c:pt idx="3">
                  <c:v>0.49997999999999998</c:v>
                </c:pt>
                <c:pt idx="4">
                  <c:v>0.99997000000000003</c:v>
                </c:pt>
                <c:pt idx="5">
                  <c:v>1.49996</c:v>
                </c:pt>
                <c:pt idx="6">
                  <c:v>1.9999499999999999</c:v>
                </c:pt>
                <c:pt idx="7">
                  <c:v>2.4999400000000001</c:v>
                </c:pt>
                <c:pt idx="8">
                  <c:v>2.99993</c:v>
                </c:pt>
                <c:pt idx="9">
                  <c:v>3.4999199999999999</c:v>
                </c:pt>
                <c:pt idx="10">
                  <c:v>3.9999099999999999</c:v>
                </c:pt>
                <c:pt idx="11">
                  <c:v>4.4999000000000002</c:v>
                </c:pt>
                <c:pt idx="12">
                  <c:v>4.9998899999999997</c:v>
                </c:pt>
                <c:pt idx="13">
                  <c:v>5.4998800000000001</c:v>
                </c:pt>
                <c:pt idx="14">
                  <c:v>5.9998699999999996</c:v>
                </c:pt>
                <c:pt idx="15">
                  <c:v>6.49986</c:v>
                </c:pt>
                <c:pt idx="16">
                  <c:v>6.9998500000000003</c:v>
                </c:pt>
                <c:pt idx="17">
                  <c:v>7.4998399999999998</c:v>
                </c:pt>
                <c:pt idx="18">
                  <c:v>7.9998300000000002</c:v>
                </c:pt>
                <c:pt idx="19">
                  <c:v>8.4998199999999997</c:v>
                </c:pt>
                <c:pt idx="20">
                  <c:v>8.9998100000000001</c:v>
                </c:pt>
                <c:pt idx="21">
                  <c:v>9.4998000000000005</c:v>
                </c:pt>
                <c:pt idx="22">
                  <c:v>9.9997900000000008</c:v>
                </c:pt>
                <c:pt idx="23">
                  <c:v>10.499779999999999</c:v>
                </c:pt>
              </c:numCache>
            </c:numRef>
          </c:cat>
          <c:val>
            <c:numRef>
              <c:f>Лист1!$AN$30:$AN$53</c:f>
              <c:numCache>
                <c:formatCode>General</c:formatCode>
                <c:ptCount val="24"/>
                <c:pt idx="0">
                  <c:v>4.9998870442807357</c:v>
                </c:pt>
                <c:pt idx="1">
                  <c:v>0.7709869398616338</c:v>
                </c:pt>
                <c:pt idx="2">
                  <c:v>-0.99998118294761795</c:v>
                </c:pt>
                <c:pt idx="3">
                  <c:v>-1.4010606782552366</c:v>
                </c:pt>
                <c:pt idx="4">
                  <c:v>-1.1319164263961328</c:v>
                </c:pt>
                <c:pt idx="5">
                  <c:v>-0.60796757942472202</c:v>
                </c:pt>
                <c:pt idx="6">
                  <c:v>-4.5811946966708823E-2</c:v>
                </c:pt>
                <c:pt idx="7">
                  <c:v>0.468361241709708</c:v>
                </c:pt>
                <c:pt idx="8">
                  <c:v>0.92567346354278857</c:v>
                </c:pt>
                <c:pt idx="9">
                  <c:v>1.3550771795858791</c:v>
                </c:pt>
                <c:pt idx="10">
                  <c:v>1.7957975291152992</c:v>
                </c:pt>
                <c:pt idx="11">
                  <c:v>2.2799987040770602</c:v>
                </c:pt>
                <c:pt idx="12">
                  <c:v>2.8239782680118695</c:v>
                </c:pt>
                <c:pt idx="13">
                  <c:v>3.4261926835981846</c:v>
                </c:pt>
                <c:pt idx="14">
                  <c:v>4.0704173129526149</c:v>
                </c:pt>
                <c:pt idx="15">
                  <c:v>4.7323441548273051</c:v>
                </c:pt>
                <c:pt idx="16">
                  <c:v>5.3879205828442505</c:v>
                </c:pt>
                <c:pt idx="17">
                  <c:v>6.0217323489052115</c:v>
                </c:pt>
                <c:pt idx="18">
                  <c:v>6.63373411591781</c:v>
                </c:pt>
                <c:pt idx="19">
                  <c:v>7.242630783976522</c:v>
                </c:pt>
                <c:pt idx="20">
                  <c:v>7.8842128741387647</c:v>
                </c:pt>
                <c:pt idx="21">
                  <c:v>8.6029492339351297</c:v>
                </c:pt>
                <c:pt idx="22">
                  <c:v>9.43514032875356</c:v>
                </c:pt>
                <c:pt idx="23">
                  <c:v>10.381935383237195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D0B-4B79-B041-A253B9AC9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7691472"/>
        <c:axId val="524737072"/>
      </c:lineChart>
      <c:catAx>
        <c:axId val="55769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  <a:endParaRPr lang="ru-RU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4737072"/>
        <c:crosses val="autoZero"/>
        <c:auto val="1"/>
        <c:lblAlgn val="ctr"/>
        <c:lblOffset val="100"/>
        <c:tickLblSkip val="3"/>
        <c:tickMarkSkip val="3"/>
        <c:noMultiLvlLbl val="0"/>
      </c:catAx>
      <c:valAx>
        <c:axId val="52473707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F(x)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769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419100</xdr:colOff>
      <xdr:row>2</xdr:row>
      <xdr:rowOff>123824</xdr:rowOff>
    </xdr:from>
    <xdr:to>
      <xdr:col>6</xdr:col>
      <xdr:colOff>352425</xdr:colOff>
      <xdr:row>7</xdr:row>
      <xdr:rowOff>123265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D05530-7DDC-44E2-AABC-1CD5C1064F94}"/>
            </a:ext>
          </a:extLst>
        </xdr:cNvPr>
        <xdr:cNvSpPr txBox="1"/>
      </xdr:nvSpPr>
      <xdr:spPr>
        <a:xfrm>
          <a:off x="3028950" y="609599"/>
          <a:ext cx="2733675" cy="999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400"/>
            <a:t>Допустим, что имеются</a:t>
          </a:r>
          <a:r>
            <a:rPr lang="ru-RU" sz="1400" baseline="0"/>
            <a:t> следующие данные о функии в точках</a:t>
          </a:r>
          <a:endParaRPr lang="ru-RU" sz="1400"/>
        </a:p>
      </xdr:txBody>
    </xdr:sp>
    <xdr:clientData/>
  </xdr:twoCellAnchor>
  <xdr:twoCellAnchor>
    <xdr:from>
      <xdr:col>3</xdr:col>
      <xdr:colOff>466725</xdr:colOff>
      <xdr:row>18</xdr:row>
      <xdr:rowOff>38099</xdr:rowOff>
    </xdr:from>
    <xdr:to>
      <xdr:col>7</xdr:col>
      <xdr:colOff>95250</xdr:colOff>
      <xdr:row>27</xdr:row>
      <xdr:rowOff>100853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602C06C-FF9E-4971-936B-99BF3A3BC4F3}"/>
                </a:ext>
              </a:extLst>
            </xdr:cNvPr>
            <xdr:cNvSpPr txBox="1"/>
          </xdr:nvSpPr>
          <xdr:spPr>
            <a:xfrm>
              <a:off x="3076575" y="3924299"/>
              <a:ext cx="3038475" cy="192965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ru-RU" sz="1200"/>
                <a:t>Для</a:t>
              </a:r>
              <a:r>
                <a:rPr lang="ru-RU" sz="1200" baseline="0"/>
                <a:t> кусочно-линейной интерполяции, чтобы найти значение </a:t>
              </a:r>
              <a:r>
                <a:rPr lang="en-US" sz="1200" baseline="0"/>
                <a:t>f(x)</a:t>
              </a:r>
              <a:r>
                <a:rPr lang="ru-RU" sz="1200" baseline="0"/>
                <a:t>, нужно посмотреть, какому промежутку </a:t>
              </a:r>
              <a14:m>
                <m:oMath xmlns:m="http://schemas.openxmlformats.org/officeDocument/2006/math">
                  <m:d>
                    <m:dPr>
                      <m:begChr m:val="["/>
                      <m:endChr m:val="]"/>
                      <m:ctrlPr>
                        <a:rPr lang="en-US" sz="1200" b="0" i="1" baseline="0">
                          <a:latin typeface="Cambria Math" panose="02040503050406030204" pitchFamily="18" charset="0"/>
                        </a:rPr>
                      </m:ctrlPr>
                    </m:dPr>
                    <m:e>
                      <m:sSub>
                        <m:sSubPr>
                          <m:ctrlPr>
                            <a:rPr lang="en-US" sz="1200" b="0" i="1" baseline="0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200" b="0" i="1" baseline="0">
                              <a:latin typeface="Cambria Math" panose="02040503050406030204" pitchFamily="18" charset="0"/>
                            </a:rPr>
                            <m:t>𝑥</m:t>
                          </m:r>
                        </m:e>
                        <m:sub>
                          <m:r>
                            <a:rPr lang="en-US" sz="1200" b="0" i="1" baseline="0">
                              <a:latin typeface="Cambria Math" panose="02040503050406030204" pitchFamily="18" charset="0"/>
                            </a:rPr>
                            <m:t>𝑖</m:t>
                          </m:r>
                        </m:sub>
                      </m:sSub>
                      <m:r>
                        <a:rPr lang="en-US" sz="1200" b="0" i="1" baseline="0">
                          <a:latin typeface="Cambria Math" panose="02040503050406030204" pitchFamily="18" charset="0"/>
                        </a:rPr>
                        <m:t>;</m:t>
                      </m:r>
                      <m:sSub>
                        <m:sSubPr>
                          <m:ctrlPr>
                            <a:rPr lang="en-US" sz="1200" b="0" i="1" baseline="0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200" b="0" i="1" baseline="0">
                              <a:latin typeface="Cambria Math" panose="02040503050406030204" pitchFamily="18" charset="0"/>
                            </a:rPr>
                            <m:t>𝑥</m:t>
                          </m:r>
                        </m:e>
                        <m:sub>
                          <m:r>
                            <a:rPr lang="en-US" sz="1200" b="0" i="1" baseline="0">
                              <a:latin typeface="Cambria Math" panose="02040503050406030204" pitchFamily="18" charset="0"/>
                            </a:rPr>
                            <m:t>𝑖</m:t>
                          </m:r>
                          <m:r>
                            <a:rPr lang="en-US" sz="1200" b="0" i="1" baseline="0">
                              <a:latin typeface="Cambria Math" panose="02040503050406030204" pitchFamily="18" charset="0"/>
                            </a:rPr>
                            <m:t>+1</m:t>
                          </m:r>
                        </m:sub>
                      </m:sSub>
                    </m:e>
                  </m:d>
                  <m:r>
                    <a:rPr lang="ru-RU" sz="1200" b="0" i="1" baseline="0">
                      <a:latin typeface="Cambria Math" panose="02040503050406030204" pitchFamily="18" charset="0"/>
                    </a:rPr>
                    <m:t> принадлежит </m:t>
                  </m:r>
                  <m:r>
                    <a:rPr lang="en-US" sz="1200" b="0" i="1" baseline="0">
                      <a:latin typeface="Cambria Math" panose="02040503050406030204" pitchFamily="18" charset="0"/>
                    </a:rPr>
                    <m:t>𝑥</m:t>
                  </m:r>
                  <m:r>
                    <a:rPr lang="en-US" sz="1200" b="0" i="1" baseline="0">
                      <a:latin typeface="Cambria Math" panose="02040503050406030204" pitchFamily="18" charset="0"/>
                    </a:rPr>
                    <m:t>.</m:t>
                  </m:r>
                </m:oMath>
              </a14:m>
              <a:r>
                <a:rPr lang="ru-RU" sz="1200" baseline="0"/>
                <a:t> Тогда:</a:t>
              </a:r>
            </a:p>
            <a:p>
              <a:endParaRPr lang="ru-RU" sz="1200" baseline="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0" i="1" baseline="0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200" b="0" i="1" baseline="0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200" b="0" i="1" baseline="0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200" b="0" i="1" baseline="0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200" b="0" i="1" baseline="0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d>
                    <m:r>
                      <a:rPr lang="en-US" sz="1200" b="0" i="1" baseline="0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sz="1200" b="0" i="1" baseline="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200" b="0" i="1" baseline="0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200" b="0" i="1" baseline="0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200" b="0" i="1" baseline="0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</m:e>
                        </m:d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𝑓</m:t>
                        </m:r>
                        <m:d>
                          <m:dPr>
                            <m:ctrlP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200" b="0" i="1" baseline="0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200" b="0" i="1" baseline="0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200" b="0" i="1" baseline="0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lang="en-US" sz="1200" b="0" i="1" baseline="0">
                                    <a:latin typeface="Cambria Math" panose="02040503050406030204" pitchFamily="18" charset="0"/>
                                  </a:rPr>
                                  <m:t>+1</m:t>
                                </m:r>
                              </m:sub>
                            </m:sSub>
                          </m:e>
                        </m:d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𝑓</m:t>
                        </m:r>
                        <m:d>
                          <m:dPr>
                            <m:ctrlP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200" b="0" i="1" baseline="0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200" b="0" i="1" baseline="0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200" b="0" i="1" baseline="0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</m:e>
                        </m:d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sSub>
                          <m:sSubPr>
                            <m:ctrlP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  <m:t>+1</m:t>
                            </m:r>
                          </m:sub>
                        </m:sSub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200" b="0" baseline="0"/>
            </a:p>
            <a:p>
              <a:endParaRPr lang="en-US" sz="1200" baseline="0"/>
            </a:p>
            <a:p>
              <a:r>
                <a:rPr lang="ru-RU" sz="1200" baseline="0"/>
                <a:t>Найдём значения для исходных  </a:t>
              </a:r>
              <a14:m>
                <m:oMath xmlns:m="http://schemas.openxmlformats.org/officeDocument/2006/math">
                  <m:r>
                    <a:rPr lang="en-US" sz="1200" b="0" i="1" baseline="0">
                      <a:latin typeface="Cambria Math" panose="02040503050406030204" pitchFamily="18" charset="0"/>
                    </a:rPr>
                    <m:t>𝑥</m:t>
                  </m:r>
                </m:oMath>
              </a14:m>
              <a:endParaRPr lang="en-US" sz="1200" b="0" baseline="0"/>
            </a:p>
            <a:p>
              <a:endParaRPr lang="ru-RU" sz="1200" baseline="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602C06C-FF9E-4971-936B-99BF3A3BC4F3}"/>
                </a:ext>
              </a:extLst>
            </xdr:cNvPr>
            <xdr:cNvSpPr txBox="1"/>
          </xdr:nvSpPr>
          <xdr:spPr>
            <a:xfrm>
              <a:off x="3076575" y="3924299"/>
              <a:ext cx="3038475" cy="192965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ru-RU" sz="1200"/>
                <a:t>Для</a:t>
              </a:r>
              <a:r>
                <a:rPr lang="ru-RU" sz="1200" baseline="0"/>
                <a:t> кусочно-линейной интерполяции, чтобы найти значение </a:t>
              </a:r>
              <a:r>
                <a:rPr lang="en-US" sz="1200" baseline="0"/>
                <a:t>f(x)</a:t>
              </a:r>
              <a:r>
                <a:rPr lang="ru-RU" sz="1200" baseline="0"/>
                <a:t>, нужно посмотреть, какому промежутку </a:t>
              </a:r>
              <a:r>
                <a:rPr lang="en-US" sz="1200" b="0" i="0" baseline="0">
                  <a:latin typeface="Cambria Math" panose="02040503050406030204" pitchFamily="18" charset="0"/>
                </a:rPr>
                <a:t>[𝑥_𝑖;𝑥_(𝑖+1) ]</a:t>
              </a:r>
              <a:r>
                <a:rPr lang="ru-RU" sz="1200" b="0" i="0" baseline="0">
                  <a:latin typeface="Cambria Math" panose="02040503050406030204" pitchFamily="18" charset="0"/>
                </a:rPr>
                <a:t>  принадлежит </a:t>
              </a:r>
              <a:r>
                <a:rPr lang="en-US" sz="1200" b="0" i="0" baseline="0">
                  <a:latin typeface="Cambria Math" panose="02040503050406030204" pitchFamily="18" charset="0"/>
                </a:rPr>
                <a:t>𝑥.</a:t>
              </a:r>
              <a:r>
                <a:rPr lang="ru-RU" sz="1200" baseline="0"/>
                <a:t> Тогда:</a:t>
              </a:r>
            </a:p>
            <a:p>
              <a:endParaRPr lang="ru-RU" sz="1200" baseline="0"/>
            </a:p>
            <a:p>
              <a:pPr/>
              <a:r>
                <a:rPr lang="en-US" sz="1200" b="0" i="0" baseline="0">
                  <a:latin typeface="Cambria Math" panose="02040503050406030204" pitchFamily="18" charset="0"/>
                </a:rPr>
                <a:t>𝑓(𝑥)=𝑓(𝑥_𝑖 )+((𝑥−𝑥_𝑖 )(𝑓(𝑥_(𝑖+1) )−𝑓(𝑥_𝑖 )))/(𝑥_(𝑖+1)−𝑥_𝑖 )</a:t>
              </a:r>
              <a:endParaRPr lang="en-US" sz="1200" b="0" baseline="0"/>
            </a:p>
            <a:p>
              <a:endParaRPr lang="en-US" sz="1200" baseline="0"/>
            </a:p>
            <a:p>
              <a:r>
                <a:rPr lang="ru-RU" sz="1200" baseline="0"/>
                <a:t>Найдём значения для исходных  </a:t>
              </a:r>
              <a:r>
                <a:rPr lang="en-US" sz="1200" b="0" i="0" baseline="0">
                  <a:latin typeface="Cambria Math" panose="02040503050406030204" pitchFamily="18" charset="0"/>
                </a:rPr>
                <a:t>𝑥</a:t>
              </a:r>
              <a:endParaRPr lang="en-US" sz="1200" b="0" baseline="0"/>
            </a:p>
            <a:p>
              <a:endParaRPr lang="ru-RU" sz="1200" baseline="0"/>
            </a:p>
          </xdr:txBody>
        </xdr:sp>
      </mc:Fallback>
    </mc:AlternateContent>
    <xdr:clientData/>
  </xdr:twoCellAnchor>
  <xdr:twoCellAnchor>
    <xdr:from>
      <xdr:col>8</xdr:col>
      <xdr:colOff>542925</xdr:colOff>
      <xdr:row>2</xdr:row>
      <xdr:rowOff>171450</xdr:rowOff>
    </xdr:from>
    <xdr:to>
      <xdr:col>13</xdr:col>
      <xdr:colOff>19050</xdr:colOff>
      <xdr:row>6</xdr:row>
      <xdr:rowOff>114300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86C07B4-7DCA-4D9C-BDB3-86DDC8E035D7}"/>
            </a:ext>
          </a:extLst>
        </xdr:cNvPr>
        <xdr:cNvSpPr txBox="1"/>
      </xdr:nvSpPr>
      <xdr:spPr>
        <a:xfrm>
          <a:off x="7172325" y="657225"/>
          <a:ext cx="4676775" cy="742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400"/>
            <a:t>Есть данные о 8</a:t>
          </a:r>
          <a:r>
            <a:rPr lang="ru-RU" sz="1400" baseline="0"/>
            <a:t> точках, тогда можно интерполировать многочленом 7-ой степени</a:t>
          </a:r>
          <a:endParaRPr lang="ru-RU" sz="1400"/>
        </a:p>
      </xdr:txBody>
    </xdr:sp>
    <xdr:clientData/>
  </xdr:twoCellAnchor>
  <xdr:twoCellAnchor>
    <xdr:from>
      <xdr:col>7</xdr:col>
      <xdr:colOff>390525</xdr:colOff>
      <xdr:row>6</xdr:row>
      <xdr:rowOff>228600</xdr:rowOff>
    </xdr:from>
    <xdr:to>
      <xdr:col>14</xdr:col>
      <xdr:colOff>561975</xdr:colOff>
      <xdr:row>11</xdr:row>
      <xdr:rowOff>145677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3B15F8B5-E980-4493-A4D2-8449B1A98F34}"/>
                </a:ext>
              </a:extLst>
            </xdr:cNvPr>
            <xdr:cNvSpPr txBox="1"/>
          </xdr:nvSpPr>
          <xdr:spPr>
            <a:xfrm>
              <a:off x="6410325" y="1485900"/>
              <a:ext cx="7239000" cy="101245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ru-RU" sz="1400"/>
                <a:t>Для этого построим систему уравнений: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n-US" sz="1400" b="0" i="1">
                            <a:latin typeface="Cambria Math" panose="02040503050406030204" pitchFamily="18" charset="0"/>
                          </a:rPr>
                          <m:t>x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, 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d>
                    <m:r>
                      <a:rPr lang="en-US" sz="1400" b="0" i="1">
                        <a:latin typeface="Cambria Math" panose="02040503050406030204" pitchFamily="18" charset="0"/>
                      </a:rPr>
                      <m:t>: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sSubSup>
                      <m:sSubSup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en-US" sz="14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sSubSup>
                      <m:sSubSup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p>
                    </m:sSubSup>
                    <m:r>
                      <a:rPr lang="en-US" sz="14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sSubSup>
                      <m:sSubSup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4</m:t>
                        </m:r>
                      </m:sup>
                    </m:sSubSup>
                    <m:r>
                      <a:rPr lang="en-US" sz="14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5</m:t>
                        </m:r>
                      </m:sub>
                    </m:sSub>
                    <m:sSubSup>
                      <m:sSubSup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5</m:t>
                        </m:r>
                      </m:sup>
                    </m:sSubSup>
                    <m:r>
                      <a:rPr lang="en-US" sz="14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6</m:t>
                        </m:r>
                      </m:sub>
                    </m:sSub>
                    <m:sSubSup>
                      <m:sSubSup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6</m:t>
                        </m:r>
                      </m:sup>
                    </m:sSubSup>
                    <m:r>
                      <a:rPr lang="en-US" sz="14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7</m:t>
                        </m:r>
                      </m:sub>
                    </m:sSub>
                    <m:sSubSup>
                      <m:sSubSup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7</m:t>
                        </m:r>
                      </m:sup>
                    </m:sSubSup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400"/>
            </a:p>
            <a:p>
              <a:r>
                <a:rPr lang="ru-RU" sz="1400"/>
                <a:t>Получим:</a:t>
              </a:r>
            </a:p>
            <a:p>
              <a:endParaRPr lang="en-US" sz="1400"/>
            </a:p>
            <a:p>
              <a:endParaRPr lang="ru-RU" sz="14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3B15F8B5-E980-4493-A4D2-8449B1A98F34}"/>
                </a:ext>
              </a:extLst>
            </xdr:cNvPr>
            <xdr:cNvSpPr txBox="1"/>
          </xdr:nvSpPr>
          <xdr:spPr>
            <a:xfrm>
              <a:off x="6410325" y="1485900"/>
              <a:ext cx="7239000" cy="101245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ru-RU" sz="1400"/>
                <a:t>Для этого построим систему уравнений:</a:t>
              </a:r>
            </a:p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x_𝑖, 𝑓(𝑥_𝑖 ):𝑎_0+𝑎_1 𝑥_𝑖+𝑎_2 𝑥_𝑖^2+𝑎_3 𝑥_𝑖^3+𝑎_4 𝑥_𝑖^4+𝑎_5 𝑥_𝑖^5+𝑎_6 𝑥_𝑖^6+𝑎_7 𝑥_𝑖^7=𝑓(𝑥_𝑖)</a:t>
              </a:r>
              <a:endParaRPr lang="ru-RU" sz="1400"/>
            </a:p>
            <a:p>
              <a:r>
                <a:rPr lang="ru-RU" sz="1400"/>
                <a:t>Получим:</a:t>
              </a:r>
            </a:p>
            <a:p>
              <a:endParaRPr lang="en-US" sz="1400"/>
            </a:p>
            <a:p>
              <a:endParaRPr lang="ru-RU" sz="1400"/>
            </a:p>
          </xdr:txBody>
        </xdr:sp>
      </mc:Fallback>
    </mc:AlternateContent>
    <xdr:clientData/>
  </xdr:twoCellAnchor>
  <xdr:twoCellAnchor>
    <xdr:from>
      <xdr:col>7</xdr:col>
      <xdr:colOff>212912</xdr:colOff>
      <xdr:row>2</xdr:row>
      <xdr:rowOff>22412</xdr:rowOff>
    </xdr:from>
    <xdr:to>
      <xdr:col>7</xdr:col>
      <xdr:colOff>212912</xdr:colOff>
      <xdr:row>58</xdr:row>
      <xdr:rowOff>179294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1066B7FC-EE53-4BEF-8D22-12F2511FB2E1}"/>
            </a:ext>
          </a:extLst>
        </xdr:cNvPr>
        <xdr:cNvCxnSpPr/>
      </xdr:nvCxnSpPr>
      <xdr:spPr>
        <a:xfrm>
          <a:off x="6232712" y="508187"/>
          <a:ext cx="0" cy="11624982"/>
        </a:xfrm>
        <a:prstGeom prst="line">
          <a:avLst/>
        </a:prstGeom>
        <a:ln w="571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818029</xdr:colOff>
      <xdr:row>32</xdr:row>
      <xdr:rowOff>11207</xdr:rowOff>
    </xdr:from>
    <xdr:to>
      <xdr:col>15</xdr:col>
      <xdr:colOff>414618</xdr:colOff>
      <xdr:row>34</xdr:row>
      <xdr:rowOff>112060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C97708BC-7A8A-48C4-A5B7-27A10A41F433}"/>
                </a:ext>
              </a:extLst>
            </xdr:cNvPr>
            <xdr:cNvSpPr txBox="1"/>
          </xdr:nvSpPr>
          <xdr:spPr>
            <a:xfrm>
              <a:off x="9076204" y="6764432"/>
              <a:ext cx="5559239" cy="50090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ru-RU" sz="1400"/>
                <a:t>Получаем интерполяционный многочлен</a:t>
              </a:r>
              <a:r>
                <a:rPr lang="en-US" sz="1400"/>
                <a:t>.</a:t>
              </a:r>
              <a:endParaRPr lang="ru-RU" sz="1400"/>
            </a:p>
            <a:p>
              <a:r>
                <a:rPr lang="ru-RU" sz="1400"/>
                <a:t>Посчитаем</a:t>
              </a:r>
              <a:r>
                <a:rPr lang="ru-RU" sz="1400" baseline="0"/>
                <a:t> значения для исходных </a:t>
              </a:r>
              <a:r>
                <a:rPr lang="en-US" sz="1400" baseline="0"/>
                <a:t>x</a:t>
              </a:r>
              <a14:m>
                <m:oMath xmlns:m="http://schemas.openxmlformats.org/officeDocument/2006/math">
                  <m:r>
                    <m:rPr>
                      <m:nor/>
                    </m:rPr>
                    <a:rPr lang="ru-RU" sz="1400"/>
                    <m:t> </m:t>
                  </m:r>
                </m:oMath>
              </a14:m>
              <a:endParaRPr lang="ru-RU" sz="14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C97708BC-7A8A-48C4-A5B7-27A10A41F433}"/>
                </a:ext>
              </a:extLst>
            </xdr:cNvPr>
            <xdr:cNvSpPr txBox="1"/>
          </xdr:nvSpPr>
          <xdr:spPr>
            <a:xfrm>
              <a:off x="9076204" y="6764432"/>
              <a:ext cx="5559239" cy="50090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ru-RU" sz="1400"/>
                <a:t>Получаем интерполяционный многочлен</a:t>
              </a:r>
              <a:r>
                <a:rPr lang="en-US" sz="1400"/>
                <a:t>.</a:t>
              </a:r>
              <a:endParaRPr lang="ru-RU" sz="1400"/>
            </a:p>
            <a:p>
              <a:r>
                <a:rPr lang="ru-RU" sz="1400"/>
                <a:t>Посчитаем</a:t>
              </a:r>
              <a:r>
                <a:rPr lang="ru-RU" sz="1400" baseline="0"/>
                <a:t> значения для исходных </a:t>
              </a:r>
              <a:r>
                <a:rPr lang="en-US" sz="1400" baseline="0"/>
                <a:t>x</a:t>
              </a:r>
              <a:r>
                <a:rPr lang="ru-RU" sz="1400" i="0">
                  <a:latin typeface="Cambria Math" panose="02040503050406030204" pitchFamily="18" charset="0"/>
                </a:rPr>
                <a:t>" </a:t>
              </a:r>
              <a:r>
                <a:rPr lang="ru-RU" sz="1400" i="0"/>
                <a:t>"</a:t>
              </a:r>
              <a:endParaRPr lang="ru-RU" sz="1400"/>
            </a:p>
          </xdr:txBody>
        </xdr:sp>
      </mc:Fallback>
    </mc:AlternateContent>
    <xdr:clientData/>
  </xdr:twoCellAnchor>
  <xdr:twoCellAnchor>
    <xdr:from>
      <xdr:col>19</xdr:col>
      <xdr:colOff>571500</xdr:colOff>
      <xdr:row>3</xdr:row>
      <xdr:rowOff>0</xdr:rowOff>
    </xdr:from>
    <xdr:to>
      <xdr:col>27</xdr:col>
      <xdr:colOff>481853</xdr:colOff>
      <xdr:row>9</xdr:row>
      <xdr:rowOff>22412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287613ED-DF55-4AA9-B858-7A0DFD8FE608}"/>
                </a:ext>
              </a:extLst>
            </xdr:cNvPr>
            <xdr:cNvSpPr txBox="1"/>
          </xdr:nvSpPr>
          <xdr:spPr>
            <a:xfrm>
              <a:off x="18268950" y="685800"/>
              <a:ext cx="5768228" cy="1251137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400" b="0" i="1">
                        <a:latin typeface="Cambria Math" panose="02040503050406030204" pitchFamily="18" charset="0"/>
                      </a:rPr>
                      <m:t>= </m:t>
                    </m:r>
                    <m:nary>
                      <m:naryPr>
                        <m:chr m:val="∑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4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=0</m:t>
                        </m:r>
                      </m:sub>
                      <m:sup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𝑓</m:t>
                        </m:r>
                        <m:d>
                          <m:d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</m:e>
                        </m:d>
                        <m:nary>
                          <m:naryPr>
                            <m:chr m:val="∏"/>
                            <m:supHide m:val="on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US" sz="1400" b="0" i="1">
                                <a:latin typeface="Cambria Math" panose="02040503050406030204" pitchFamily="18" charset="0"/>
                              </a:rPr>
                              <m:t>𝑗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≠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  <m:sup/>
                          <m:e>
                            <m:f>
                              <m:f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𝑗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</m:s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𝑗</m:t>
                                    </m:r>
                                  </m:sub>
                                </m:sSub>
                              </m:den>
                            </m:f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;  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𝑗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=0,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</m:nary>
                      </m:e>
                    </m:nary>
                  </m:oMath>
                </m:oMathPara>
              </a14:m>
              <a:endParaRPr lang="en-US" sz="140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≈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𝑥</m:t>
                        </m:r>
                      </m:e>
                    </m:d>
                  </m:oMath>
                </m:oMathPara>
              </a14:m>
              <a:endParaRPr lang="en-US" sz="1400" b="0">
                <a:ea typeface="Cambria Math" panose="02040503050406030204" pitchFamily="18" charset="0"/>
              </a:endParaRPr>
            </a:p>
            <a:p>
              <a:r>
                <a:rPr lang="ru-RU" sz="1200"/>
                <a:t>Проинтерполируем</a:t>
              </a:r>
              <a:r>
                <a:rPr lang="ru-RU" sz="1200" baseline="0"/>
                <a:t> многочленом Лагранжа </a:t>
              </a:r>
              <a:r>
                <a:rPr lang="en-US" sz="1200" baseline="0"/>
                <a:t>7</a:t>
              </a:r>
              <a:r>
                <a:rPr lang="ru-RU" sz="1200" baseline="0"/>
                <a:t>-ой степени</a:t>
              </a:r>
              <a:endParaRPr lang="ru-RU" sz="12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287613ED-DF55-4AA9-B858-7A0DFD8FE608}"/>
                </a:ext>
              </a:extLst>
            </xdr:cNvPr>
            <xdr:cNvSpPr txBox="1"/>
          </xdr:nvSpPr>
          <xdr:spPr>
            <a:xfrm>
              <a:off x="18268950" y="685800"/>
              <a:ext cx="5768228" cy="1251137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𝐿_𝑛 (𝑥)= ∑_(𝑖=0)^𝑛▒〖𝑓(𝑥_𝑖 ) ∏_(𝑗≠𝑖)▒〖(𝑥−𝑥_𝑗)/(𝑥_𝑖−𝑥_𝑗 );  𝑗=0,𝑛〗〗</a:t>
              </a:r>
              <a:endParaRPr lang="en-US" sz="1400"/>
            </a:p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𝐿_𝑛 (𝑥)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≈𝑓(𝑥)</a:t>
              </a:r>
              <a:endParaRPr lang="en-US" sz="1400" b="0">
                <a:ea typeface="Cambria Math" panose="02040503050406030204" pitchFamily="18" charset="0"/>
              </a:endParaRPr>
            </a:p>
            <a:p>
              <a:r>
                <a:rPr lang="ru-RU" sz="1200"/>
                <a:t>Проинтерполируем</a:t>
              </a:r>
              <a:r>
                <a:rPr lang="ru-RU" sz="1200" baseline="0"/>
                <a:t> многочленом Лагранжа </a:t>
              </a:r>
              <a:r>
                <a:rPr lang="en-US" sz="1200" baseline="0"/>
                <a:t>7</a:t>
              </a:r>
              <a:r>
                <a:rPr lang="ru-RU" sz="1200" baseline="0"/>
                <a:t>-ой степени</a:t>
              </a:r>
              <a:endParaRPr lang="ru-RU" sz="1200"/>
            </a:p>
          </xdr:txBody>
        </xdr:sp>
      </mc:Fallback>
    </mc:AlternateContent>
    <xdr:clientData/>
  </xdr:twoCellAnchor>
  <xdr:twoCellAnchor>
    <xdr:from>
      <xdr:col>17</xdr:col>
      <xdr:colOff>257736</xdr:colOff>
      <xdr:row>2</xdr:row>
      <xdr:rowOff>33617</xdr:rowOff>
    </xdr:from>
    <xdr:to>
      <xdr:col>17</xdr:col>
      <xdr:colOff>257736</xdr:colOff>
      <xdr:row>58</xdr:row>
      <xdr:rowOff>190499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22CEE0A3-A807-459D-BFDD-87804AD9B9A7}"/>
            </a:ext>
          </a:extLst>
        </xdr:cNvPr>
        <xdr:cNvCxnSpPr/>
      </xdr:nvCxnSpPr>
      <xdr:spPr>
        <a:xfrm>
          <a:off x="16735986" y="519392"/>
          <a:ext cx="0" cy="11624982"/>
        </a:xfrm>
        <a:prstGeom prst="line">
          <a:avLst/>
        </a:prstGeom>
        <a:ln w="571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224118</xdr:colOff>
      <xdr:row>12</xdr:row>
      <xdr:rowOff>44823</xdr:rowOff>
    </xdr:from>
    <xdr:to>
      <xdr:col>23</xdr:col>
      <xdr:colOff>246529</xdr:colOff>
      <xdr:row>14</xdr:row>
      <xdr:rowOff>190500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A16F33BB-2CB0-4E62-8C30-5E7678ABCE92}"/>
            </a:ext>
          </a:extLst>
        </xdr:cNvPr>
        <xdr:cNvSpPr txBox="1"/>
      </xdr:nvSpPr>
      <xdr:spPr>
        <a:xfrm>
          <a:off x="18531168" y="2616573"/>
          <a:ext cx="2832286" cy="58382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Многочлен</a:t>
          </a:r>
          <a:r>
            <a:rPr lang="ru-RU" sz="1100" baseline="0"/>
            <a:t> Лагранжа 7-ой степени</a:t>
          </a:r>
        </a:p>
        <a:p>
          <a:r>
            <a:rPr lang="en-US" sz="1100" baseline="0"/>
            <a:t>ALT+F11</a:t>
          </a:r>
          <a:endParaRPr lang="ru-RU" sz="1100"/>
        </a:p>
      </xdr:txBody>
    </xdr:sp>
    <xdr:clientData/>
  </xdr:twoCellAnchor>
  <xdr:twoCellAnchor>
    <xdr:from>
      <xdr:col>24</xdr:col>
      <xdr:colOff>19050</xdr:colOff>
      <xdr:row>12</xdr:row>
      <xdr:rowOff>114300</xdr:rowOff>
    </xdr:from>
    <xdr:to>
      <xdr:col>29</xdr:col>
      <xdr:colOff>171450</xdr:colOff>
      <xdr:row>14</xdr:row>
      <xdr:rowOff>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BA80BF18-3DAC-4A4A-A78B-7B78E7426CC6}"/>
            </a:ext>
          </a:extLst>
        </xdr:cNvPr>
        <xdr:cNvSpPr txBox="1"/>
      </xdr:nvSpPr>
      <xdr:spPr>
        <a:xfrm>
          <a:off x="21745575" y="2686050"/>
          <a:ext cx="3200400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Многочлен</a:t>
          </a:r>
          <a:r>
            <a:rPr lang="ru-RU" sz="1100" baseline="0"/>
            <a:t> Лагранжа 3-ей степени</a:t>
          </a:r>
          <a:endParaRPr lang="ru-RU" sz="1100"/>
        </a:p>
      </xdr:txBody>
    </xdr:sp>
    <xdr:clientData/>
  </xdr:twoCellAnchor>
  <xdr:twoCellAnchor>
    <xdr:from>
      <xdr:col>33</xdr:col>
      <xdr:colOff>285750</xdr:colOff>
      <xdr:row>2</xdr:row>
      <xdr:rowOff>0</xdr:rowOff>
    </xdr:from>
    <xdr:to>
      <xdr:col>33</xdr:col>
      <xdr:colOff>285750</xdr:colOff>
      <xdr:row>58</xdr:row>
      <xdr:rowOff>156882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F3BF706C-AB42-413B-ADCB-7381F9F731C3}"/>
            </a:ext>
          </a:extLst>
        </xdr:cNvPr>
        <xdr:cNvCxnSpPr/>
      </xdr:nvCxnSpPr>
      <xdr:spPr>
        <a:xfrm>
          <a:off x="27498675" y="485775"/>
          <a:ext cx="0" cy="11624982"/>
        </a:xfrm>
        <a:prstGeom prst="line">
          <a:avLst/>
        </a:prstGeom>
        <a:ln w="571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152400</xdr:colOff>
      <xdr:row>3</xdr:row>
      <xdr:rowOff>66675</xdr:rowOff>
    </xdr:from>
    <xdr:to>
      <xdr:col>49</xdr:col>
      <xdr:colOff>476250</xdr:colOff>
      <xdr:row>12</xdr:row>
      <xdr:rowOff>200025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47991FD2-F35C-4D46-835C-5A809B58AAC8}"/>
                </a:ext>
              </a:extLst>
            </xdr:cNvPr>
            <xdr:cNvSpPr txBox="1"/>
          </xdr:nvSpPr>
          <xdr:spPr>
            <a:xfrm>
              <a:off x="29194125" y="752475"/>
              <a:ext cx="8248650" cy="20764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ru-RU" sz="1100"/>
                <a:t>Интерполяция многочленом Ньютона</a:t>
              </a:r>
              <a:endParaRPr lang="en-US" sz="1100"/>
            </a:p>
            <a:p>
              <a:endParaRPr lang="en-US" sz="110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;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ru-RU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ru-RU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+…+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,…,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…(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/>
            </a:p>
            <a:p>
              <a:r>
                <a:rPr lang="ru-RU" sz="1100"/>
                <a:t>где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100" b="0" i="1">
                        <a:latin typeface="Cambria Math" panose="02040503050406030204" pitchFamily="18" charset="0"/>
                      </a:rPr>
                      <m:t>Разность 0 порядка: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100" b="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100" b="0" i="1">
                        <a:latin typeface="Cambria Math" panose="02040503050406030204" pitchFamily="18" charset="0"/>
                      </a:rPr>
                      <m:t>Разность 1 порядка: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,;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𝑗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</m:sub>
                            </m:sSub>
                          </m:e>
                        </m:d>
                        <m:r>
                          <a:rPr lang="ru-RU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𝑗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…</m:t>
                    </m:r>
                  </m:oMath>
                </m:oMathPara>
              </a14:m>
              <a:endParaRPr lang="en-US" sz="110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100" b="0" i="1">
                        <a:latin typeface="Cambria Math" panose="02040503050406030204" pitchFamily="18" charset="0"/>
                      </a:rPr>
                      <m:t>Разность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𝑛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−ого поря</m:t>
                    </m:r>
                    <m:r>
                      <a:rPr lang="ru-RU" sz="1100" b="0" i="1">
                        <a:latin typeface="Cambria Math" panose="02040503050406030204" pitchFamily="18" charset="0"/>
                      </a:rPr>
                      <m:t>дка: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;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;…;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,…,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</m:e>
                        </m:d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, 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,…, 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−1</m:t>
                                </m:r>
                              </m:sub>
                            </m:sSub>
                          </m:e>
                        </m:d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  <a:p>
              <a:r>
                <a:rPr lang="ru-RU" sz="1100"/>
                <a:t>Рассчитаем</a:t>
              </a:r>
              <a:r>
                <a:rPr lang="ru-RU" sz="1100" baseline="0"/>
                <a:t> их при помощи таблицы Эйткена ниже:</a:t>
              </a:r>
              <a:endParaRPr lang="ru-RU" sz="1100"/>
            </a:p>
            <a:p>
              <a:endParaRPr lang="ru-RU" sz="11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47991FD2-F35C-4D46-835C-5A809B58AAC8}"/>
                </a:ext>
              </a:extLst>
            </xdr:cNvPr>
            <xdr:cNvSpPr txBox="1"/>
          </xdr:nvSpPr>
          <xdr:spPr>
            <a:xfrm>
              <a:off x="29194125" y="752475"/>
              <a:ext cx="8248650" cy="20764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ru-RU" sz="1100"/>
                <a:t>Интерполяция многочленом Ньютона</a:t>
              </a:r>
              <a:endParaRPr lang="en-US" sz="1100"/>
            </a:p>
            <a:p>
              <a:endParaRPr lang="en-US" sz="1100"/>
            </a:p>
            <a:p>
              <a:r>
                <a:rPr lang="en-US" sz="1100" b="0" i="0">
                  <a:latin typeface="Cambria Math" panose="02040503050406030204" pitchFamily="18" charset="0"/>
                </a:rPr>
                <a:t>𝐻_𝑛 (𝑥)=𝑓(𝑥_0 )+𝑓(𝑥_0;𝑥_1 )</a:t>
              </a:r>
              <a:r>
                <a:rPr lang="ru-RU" sz="1100" b="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latin typeface="Cambria Math" panose="02040503050406030204" pitchFamily="18" charset="0"/>
                </a:rPr>
                <a:t>𝑥−𝑥_0 )+𝑓(𝑥_0,𝑥_1,𝑥_2 )</a:t>
              </a:r>
              <a:r>
                <a:rPr lang="ru-RU" sz="1100" b="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latin typeface="Cambria Math" panose="02040503050406030204" pitchFamily="18" charset="0"/>
                </a:rPr>
                <a:t>𝑥−𝑥_0 )(𝑥−𝑥_1 )+…+𝑓(𝑥_0,…, 𝑥_𝑛 )(𝑥−𝑥_0 )(𝑥−𝑥_1 )…(𝑥−𝑥_(𝑛−1))</a:t>
              </a:r>
              <a:endParaRPr lang="ru-RU" sz="1100"/>
            </a:p>
            <a:p>
              <a:r>
                <a:rPr lang="ru-RU" sz="1100"/>
                <a:t>где</a:t>
              </a:r>
            </a:p>
            <a:p>
              <a:r>
                <a:rPr lang="ru-RU" sz="1100" b="0" i="0">
                  <a:latin typeface="Cambria Math" panose="02040503050406030204" pitchFamily="18" charset="0"/>
                </a:rPr>
                <a:t>Разность 0 порядка:</a:t>
              </a:r>
              <a:r>
                <a:rPr lang="en-US" sz="1100" b="0" i="0">
                  <a:latin typeface="Cambria Math" panose="02040503050406030204" pitchFamily="18" charset="0"/>
                </a:rPr>
                <a:t>𝑓(𝑥_𝑖 )=𝑓(𝑥_𝑖 )</a:t>
              </a:r>
              <a:endParaRPr lang="en-US" sz="1100" b="0"/>
            </a:p>
            <a:p>
              <a:r>
                <a:rPr lang="ru-RU" sz="1100" b="0" i="0">
                  <a:latin typeface="Cambria Math" panose="02040503050406030204" pitchFamily="18" charset="0"/>
                </a:rPr>
                <a:t>Разность 1 порядка:</a:t>
              </a:r>
              <a:r>
                <a:rPr lang="en-US" sz="1100" b="0" i="0">
                  <a:latin typeface="Cambria Math" panose="02040503050406030204" pitchFamily="18" charset="0"/>
                </a:rPr>
                <a:t>𝑓(𝑥_𝑖,;𝑥_𝑗 )=  (𝑓(𝑥_𝑗 )</a:t>
              </a:r>
              <a:r>
                <a:rPr lang="ru-RU" sz="1100" b="0" i="0">
                  <a:latin typeface="Cambria Math" panose="02040503050406030204" pitchFamily="18" charset="0"/>
                </a:rPr>
                <a:t>−</a:t>
              </a:r>
              <a:r>
                <a:rPr lang="en-US" sz="1100" b="0" i="0">
                  <a:latin typeface="Cambria Math" panose="02040503050406030204" pitchFamily="18" charset="0"/>
                </a:rPr>
                <a:t>𝑓(𝑥_𝑖))/(𝑥_𝑗−𝑥_𝑖 )</a:t>
              </a:r>
              <a:endParaRPr lang="en-US" sz="1100"/>
            </a:p>
            <a:p>
              <a:r>
                <a:rPr lang="en-US" sz="1100" b="0" i="0">
                  <a:latin typeface="Cambria Math" panose="02040503050406030204" pitchFamily="18" charset="0"/>
                </a:rPr>
                <a:t>…</a:t>
              </a:r>
              <a:endParaRPr lang="en-US" sz="1100"/>
            </a:p>
            <a:p>
              <a:r>
                <a:rPr lang="ru-RU" sz="1100" b="0" i="0">
                  <a:latin typeface="Cambria Math" panose="02040503050406030204" pitchFamily="18" charset="0"/>
                </a:rPr>
                <a:t>Разность </a:t>
              </a:r>
              <a:r>
                <a:rPr lang="en-US" sz="1100" b="0" i="0">
                  <a:latin typeface="Cambria Math" panose="02040503050406030204" pitchFamily="18" charset="0"/>
                </a:rPr>
                <a:t>𝑛−</a:t>
              </a:r>
              <a:r>
                <a:rPr lang="ru-RU" sz="1100" b="0" i="0">
                  <a:latin typeface="Cambria Math" panose="02040503050406030204" pitchFamily="18" charset="0"/>
                </a:rPr>
                <a:t>ого порядка:</a:t>
              </a:r>
              <a:r>
                <a:rPr lang="en-US" sz="1100" b="0" i="0">
                  <a:latin typeface="Cambria Math" panose="02040503050406030204" pitchFamily="18" charset="0"/>
                </a:rPr>
                <a:t>𝑓(𝑥_0;𝑥_1;…;𝑥_𝑛 )=(𝑓(𝑥_1,𝑥_2,…,𝑥_𝑛 )−𝑓(𝑥_0, 𝑥_1,…, 𝑥_(𝑛−1) ))/(𝑥_𝑛−𝑥_0 )</a:t>
              </a:r>
              <a:endParaRPr lang="en-US" sz="1100"/>
            </a:p>
            <a:p>
              <a:r>
                <a:rPr lang="ru-RU" sz="1100"/>
                <a:t>Рассчитаем</a:t>
              </a:r>
              <a:r>
                <a:rPr lang="ru-RU" sz="1100" baseline="0"/>
                <a:t> их при помощи таблицы Эйткена ниже:</a:t>
              </a:r>
              <a:endParaRPr lang="ru-RU" sz="1100"/>
            </a:p>
            <a:p>
              <a:endParaRPr lang="ru-RU" sz="1100"/>
            </a:p>
          </xdr:txBody>
        </xdr:sp>
      </mc:Fallback>
    </mc:AlternateContent>
    <xdr:clientData/>
  </xdr:twoCellAnchor>
  <xdr:oneCellAnchor>
    <xdr:from>
      <xdr:col>39</xdr:col>
      <xdr:colOff>28575</xdr:colOff>
      <xdr:row>14</xdr:row>
      <xdr:rowOff>14287</xdr:rowOff>
    </xdr:from>
    <xdr:ext cx="5619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B4149BBD-CAD0-4B2A-8128-24A245411AC9}"/>
                </a:ext>
              </a:extLst>
            </xdr:cNvPr>
            <xdr:cNvSpPr txBox="1"/>
          </xdr:nvSpPr>
          <xdr:spPr>
            <a:xfrm>
              <a:off x="30899100" y="3081337"/>
              <a:ext cx="5619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𝑥𝑗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B4149BBD-CAD0-4B2A-8128-24A245411AC9}"/>
                </a:ext>
              </a:extLst>
            </xdr:cNvPr>
            <xdr:cNvSpPr txBox="1"/>
          </xdr:nvSpPr>
          <xdr:spPr>
            <a:xfrm>
              <a:off x="30899100" y="3081337"/>
              <a:ext cx="5619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𝑓(𝑥_𝑖;𝑥𝑗)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39</xdr:col>
      <xdr:colOff>571500</xdr:colOff>
      <xdr:row>14</xdr:row>
      <xdr:rowOff>23812</xdr:rowOff>
    </xdr:from>
    <xdr:ext cx="895350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2E4F8031-876C-40E5-AD4B-EE9693E70779}"/>
                </a:ext>
              </a:extLst>
            </xdr:cNvPr>
            <xdr:cNvSpPr txBox="1"/>
          </xdr:nvSpPr>
          <xdr:spPr>
            <a:xfrm>
              <a:off x="31442025" y="3090862"/>
              <a:ext cx="895350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2E4F8031-876C-40E5-AD4B-EE9693E70779}"/>
                </a:ext>
              </a:extLst>
            </xdr:cNvPr>
            <xdr:cNvSpPr txBox="1"/>
          </xdr:nvSpPr>
          <xdr:spPr>
            <a:xfrm>
              <a:off x="31442025" y="3090862"/>
              <a:ext cx="895350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𝑓(𝑥_𝑖;𝑥_𝑗;𝑥_𝑘)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41</xdr:col>
      <xdr:colOff>0</xdr:colOff>
      <xdr:row>14</xdr:row>
      <xdr:rowOff>23812</xdr:rowOff>
    </xdr:from>
    <xdr:ext cx="1143000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72E6C7AB-8181-42B8-B79B-CE338DFDCB79}"/>
                </a:ext>
              </a:extLst>
            </xdr:cNvPr>
            <xdr:cNvSpPr txBox="1"/>
          </xdr:nvSpPr>
          <xdr:spPr>
            <a:xfrm>
              <a:off x="32299275" y="3090862"/>
              <a:ext cx="1143000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72E6C7AB-8181-42B8-B79B-CE338DFDCB79}"/>
                </a:ext>
              </a:extLst>
            </xdr:cNvPr>
            <xdr:cNvSpPr txBox="1"/>
          </xdr:nvSpPr>
          <xdr:spPr>
            <a:xfrm>
              <a:off x="32299275" y="3090862"/>
              <a:ext cx="1143000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𝑓(𝑥_𝑖;𝑥_𝑗;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𝑘;𝑥_𝑙)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42</xdr:col>
      <xdr:colOff>19050</xdr:colOff>
      <xdr:row>14</xdr:row>
      <xdr:rowOff>28575</xdr:rowOff>
    </xdr:from>
    <xdr:ext cx="1143000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11F89741-7729-488C-AC8F-F4FCD3895E46}"/>
                </a:ext>
              </a:extLst>
            </xdr:cNvPr>
            <xdr:cNvSpPr txBox="1"/>
          </xdr:nvSpPr>
          <xdr:spPr>
            <a:xfrm>
              <a:off x="33461325" y="3095625"/>
              <a:ext cx="1143000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11F89741-7729-488C-AC8F-F4FCD3895E46}"/>
                </a:ext>
              </a:extLst>
            </xdr:cNvPr>
            <xdr:cNvSpPr txBox="1"/>
          </xdr:nvSpPr>
          <xdr:spPr>
            <a:xfrm>
              <a:off x="33461325" y="3095625"/>
              <a:ext cx="1143000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𝑓(𝑥_𝑖;𝑥_𝑗;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𝑘;𝑥_𝑙;𝑥_𝑚)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43</xdr:col>
      <xdr:colOff>28574</xdr:colOff>
      <xdr:row>14</xdr:row>
      <xdr:rowOff>0</xdr:rowOff>
    </xdr:from>
    <xdr:ext cx="1362075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6B1FFD46-DA36-41C6-85AD-B2F900B6D751}"/>
                </a:ext>
              </a:extLst>
            </xdr:cNvPr>
            <xdr:cNvSpPr txBox="1"/>
          </xdr:nvSpPr>
          <xdr:spPr>
            <a:xfrm>
              <a:off x="34670999" y="3067050"/>
              <a:ext cx="1362075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h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6B1FFD46-DA36-41C6-85AD-B2F900B6D751}"/>
                </a:ext>
              </a:extLst>
            </xdr:cNvPr>
            <xdr:cNvSpPr txBox="1"/>
          </xdr:nvSpPr>
          <xdr:spPr>
            <a:xfrm>
              <a:off x="34670999" y="3067050"/>
              <a:ext cx="1362075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𝑓(𝑥_𝑖;𝑥_𝑗;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𝑘;𝑥_𝑙;𝑥_𝑚;𝑥_ℎ)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44</xdr:col>
      <xdr:colOff>38098</xdr:colOff>
      <xdr:row>14</xdr:row>
      <xdr:rowOff>19049</xdr:rowOff>
    </xdr:from>
    <xdr:ext cx="1524002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C7D28E79-ACA7-4127-BEEF-DA571F51F555}"/>
                </a:ext>
              </a:extLst>
            </xdr:cNvPr>
            <xdr:cNvSpPr txBox="1"/>
          </xdr:nvSpPr>
          <xdr:spPr>
            <a:xfrm>
              <a:off x="36109273" y="3086099"/>
              <a:ext cx="1524002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h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C7D28E79-ACA7-4127-BEEF-DA571F51F555}"/>
                </a:ext>
              </a:extLst>
            </xdr:cNvPr>
            <xdr:cNvSpPr txBox="1"/>
          </xdr:nvSpPr>
          <xdr:spPr>
            <a:xfrm>
              <a:off x="36109273" y="3086099"/>
              <a:ext cx="1524002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𝑓(𝑥_𝑖;𝑥_𝑗;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𝑘;𝑥_𝑙;𝑥_𝑚;𝑥_ℎ;𝑥_𝑟)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45</xdr:col>
      <xdr:colOff>28574</xdr:colOff>
      <xdr:row>14</xdr:row>
      <xdr:rowOff>23812</xdr:rowOff>
    </xdr:from>
    <xdr:ext cx="20478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281EBE08-8E74-4094-B5BB-8F69ECBA2411}"/>
                </a:ext>
              </a:extLst>
            </xdr:cNvPr>
            <xdr:cNvSpPr txBox="1"/>
          </xdr:nvSpPr>
          <xdr:spPr>
            <a:xfrm>
              <a:off x="37690424" y="3090862"/>
              <a:ext cx="20478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5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6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7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281EBE08-8E74-4094-B5BB-8F69ECBA2411}"/>
                </a:ext>
              </a:extLst>
            </xdr:cNvPr>
            <xdr:cNvSpPr txBox="1"/>
          </xdr:nvSpPr>
          <xdr:spPr>
            <a:xfrm>
              <a:off x="37690424" y="3090862"/>
              <a:ext cx="20478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𝑓(𝑥_0;𝑥_1;𝑥_2;𝑥_3;𝑥_4;𝑥_5;𝑥_6;𝑥_7)</a:t>
              </a:r>
              <a:endParaRPr lang="ru-RU" sz="1100"/>
            </a:p>
          </xdr:txBody>
        </xdr:sp>
      </mc:Fallback>
    </mc:AlternateContent>
    <xdr:clientData/>
  </xdr:oneCellAnchor>
  <xdr:twoCellAnchor>
    <xdr:from>
      <xdr:col>36</xdr:col>
      <xdr:colOff>361950</xdr:colOff>
      <xdr:row>23</xdr:row>
      <xdr:rowOff>152400</xdr:rowOff>
    </xdr:from>
    <xdr:to>
      <xdr:col>46</xdr:col>
      <xdr:colOff>457200</xdr:colOff>
      <xdr:row>26</xdr:row>
      <xdr:rowOff>76200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9C67A5E2-8DAC-48BF-ABC7-8BCF7CEE2DE6}"/>
                </a:ext>
              </a:extLst>
            </xdr:cNvPr>
            <xdr:cNvSpPr txBox="1"/>
          </xdr:nvSpPr>
          <xdr:spPr>
            <a:xfrm>
              <a:off x="29403675" y="5162550"/>
              <a:ext cx="10963275" cy="52387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ru-RU" sz="1100"/>
                <a:t>Интерполяционный многочлен примет следующий вид: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nor/>
                      </m:rPr>
                      <a:rPr lang="ru-RU" sz="1100" b="0" i="0" u="none" strike="noStrike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4.999994</m:t>
                    </m:r>
                    <m:r>
                      <m:rPr>
                        <m:nor/>
                      </m:rPr>
                      <a:rPr lang="en-US" sz="1100" b="0" i="0" u="none" strike="noStrike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−6</m:t>
                    </m:r>
                    <m:r>
                      <a:rPr lang="en-US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⋅</m:t>
                    </m:r>
                    <m:r>
                      <m:rPr>
                        <m:nor/>
                      </m:rPr>
                      <a:rPr lang="en-US" sz="1100" b="0" i="0" u="none" strike="noStrike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nor/>
                      </m:rPr>
                      <a:rPr lang="en-US" sz="1100" b="0" i="0" u="none" strike="noStrike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x</m:t>
                    </m:r>
                    <m:r>
                      <m:rPr>
                        <m:nor/>
                      </m:rPr>
                      <a:rPr lang="en-US" sz="1100" b="0" i="0" u="none" strike="noStrike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+1) +2.159</m:t>
                    </m:r>
                    <m:r>
                      <a:rPr lang="en-US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⋅</m:t>
                    </m:r>
                    <m:r>
                      <m:rPr>
                        <m:nor/>
                      </m:rPr>
                      <a:rPr lang="en-US" sz="1100" b="0" i="0" u="none" strike="noStrike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nor/>
                      </m:rPr>
                      <a:rPr lang="en-US" sz="1100" b="0" i="0" u="none" strike="noStrike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x</m:t>
                    </m:r>
                    <m:r>
                      <m:rPr>
                        <m:nor/>
                      </m:rPr>
                      <a:rPr lang="en-US" sz="1100" b="0" i="0" u="none" strike="noStrike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+1)</m:t>
                    </m:r>
                    <m:r>
                      <a:rPr lang="en-US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⋅</m:t>
                    </m:r>
                    <m:r>
                      <m:rPr>
                        <m:nor/>
                      </m:rPr>
                      <a:rPr lang="en-US" sz="1100" b="0" i="0" u="none" strike="noStrike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x</m:t>
                    </m:r>
                    <m:r>
                      <m:rPr>
                        <m:nor/>
                      </m:rPr>
                      <a:rPr lang="en-US" sz="1100" b="0" i="0" u="none" strike="noStrike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−0.41</m:t>
                    </m:r>
                    <m:r>
                      <a:rPr lang="en-US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⋅</m:t>
                    </m:r>
                    <m:d>
                      <m:dPr>
                        <m:ctrlP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  <m: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+1</m:t>
                        </m:r>
                      </m:e>
                    </m:d>
                    <m:r>
                      <a:rPr lang="en-US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⋅</m:t>
                    </m:r>
                    <m:r>
                      <a:rPr lang="en-US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𝑥</m:t>
                    </m:r>
                    <m:r>
                      <a:rPr lang="en-US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⋅</m:t>
                    </m:r>
                    <m:d>
                      <m:dPr>
                        <m:ctrlP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  <m: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−2</m:t>
                        </m:r>
                      </m:e>
                    </m:d>
                    <m:r>
                      <a:rPr lang="en-US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+0.057</m:t>
                    </m:r>
                    <m:r>
                      <m:rPr>
                        <m:nor/>
                      </m:rPr>
                      <a:rPr lang="en-US" sz="1100" b="0" i="0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  <m:r>
                      <a:rPr lang="en-US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⋅</m:t>
                    </m:r>
                    <m:d>
                      <m:dPr>
                        <m:ctrlP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  <m: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+1</m:t>
                        </m:r>
                      </m:e>
                    </m:d>
                    <m:r>
                      <a:rPr lang="en-US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⋅</m:t>
                    </m:r>
                    <m:r>
                      <a:rPr lang="en-US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𝑥</m:t>
                    </m:r>
                    <m:r>
                      <a:rPr lang="en-US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⋅</m:t>
                    </m:r>
                    <m:d>
                      <m:dPr>
                        <m:ctrlP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  <m: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−2</m:t>
                        </m:r>
                      </m:e>
                    </m:d>
                    <m:r>
                      <a:rPr lang="en-US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⋅</m:t>
                    </m:r>
                    <m:d>
                      <m:dPr>
                        <m:ctrlP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  <m: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−4</m:t>
                        </m:r>
                      </m:e>
                    </m:d>
                    <m:r>
                      <m:rPr>
                        <m:nor/>
                      </m:rPr>
                      <a:rPr lang="ru-RU"/>
                      <m:t> </m:t>
                    </m:r>
                    <m:r>
                      <m:rPr>
                        <m:nor/>
                      </m:rPr>
                      <a:rPr lang="en-US" b="0" i="0"/>
                      <m:t>+</m:t>
                    </m:r>
                    <m:r>
                      <a:rPr lang="en-US" b="0" i="1">
                        <a:latin typeface="Cambria Math" panose="02040503050406030204" pitchFamily="18" charset="0"/>
                      </a:rPr>
                      <m:t>…</m:t>
                    </m:r>
                    <m:r>
                      <m:rPr>
                        <m:nor/>
                      </m:rPr>
                      <a:rPr lang="ru-RU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9C67A5E2-8DAC-48BF-ABC7-8BCF7CEE2DE6}"/>
                </a:ext>
              </a:extLst>
            </xdr:cNvPr>
            <xdr:cNvSpPr txBox="1"/>
          </xdr:nvSpPr>
          <xdr:spPr>
            <a:xfrm>
              <a:off x="29403675" y="5162550"/>
              <a:ext cx="10963275" cy="52387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ru-RU" sz="1100"/>
                <a:t>Интерполяционный многочлен примет следующий вид:</a:t>
              </a:r>
            </a:p>
            <a:p>
              <a:r>
                <a:rPr lang="en-US" sz="1100" b="0" i="0">
                  <a:latin typeface="Cambria Math" panose="02040503050406030204" pitchFamily="18" charset="0"/>
                </a:rPr>
                <a:t>𝐻_𝑛 (𝑥)=</a:t>
              </a:r>
              <a:r>
                <a:rPr lang="ru-RU" sz="1100" b="0" i="0" u="none" strike="noStrike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"4.999994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-6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"⋅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"(x+1) +2.159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"⋅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"(x+1)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"⋅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"x-0.41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"⋅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(𝑥+1)⋅𝑥⋅(𝑥−2)+0.057"2"⋅(𝑥+1)⋅𝑥⋅(𝑥−2)⋅(𝑥−4)</a:t>
              </a:r>
              <a:r>
                <a:rPr lang="ru-RU" sz="1100" b="0" i="0" u="none" strike="noStrike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</a:t>
              </a:r>
              <a:r>
                <a:rPr lang="ru-RU" i="0">
                  <a:latin typeface="Cambria Math" panose="02040503050406030204" pitchFamily="18" charset="0"/>
                </a:rPr>
                <a:t> </a:t>
              </a:r>
              <a:r>
                <a:rPr lang="en-US" b="0" i="0">
                  <a:latin typeface="Cambria Math" panose="02040503050406030204" pitchFamily="18" charset="0"/>
                </a:rPr>
                <a:t>+</a:t>
              </a:r>
              <a:r>
                <a:rPr lang="en-US" b="0" i="0"/>
                <a:t>"…</a:t>
              </a:r>
              <a:r>
                <a:rPr lang="ru-RU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</a:t>
              </a:r>
              <a:r>
                <a:rPr lang="ru-RU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ru-RU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endParaRPr lang="ru-RU" sz="1100"/>
            </a:p>
          </xdr:txBody>
        </xdr:sp>
      </mc:Fallback>
    </mc:AlternateContent>
    <xdr:clientData/>
  </xdr:twoCellAnchor>
  <xdr:twoCellAnchor>
    <xdr:from>
      <xdr:col>3</xdr:col>
      <xdr:colOff>190500</xdr:colOff>
      <xdr:row>2</xdr:row>
      <xdr:rowOff>11206</xdr:rowOff>
    </xdr:from>
    <xdr:to>
      <xdr:col>3</xdr:col>
      <xdr:colOff>190500</xdr:colOff>
      <xdr:row>58</xdr:row>
      <xdr:rowOff>168088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D59C4565-FDB3-4C19-BF6F-B835933E41A4}"/>
            </a:ext>
          </a:extLst>
        </xdr:cNvPr>
        <xdr:cNvCxnSpPr/>
      </xdr:nvCxnSpPr>
      <xdr:spPr>
        <a:xfrm>
          <a:off x="2801471" y="493059"/>
          <a:ext cx="0" cy="11822205"/>
        </a:xfrm>
        <a:prstGeom prst="line">
          <a:avLst/>
        </a:prstGeom>
        <a:ln w="571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259414</xdr:colOff>
      <xdr:row>61</xdr:row>
      <xdr:rowOff>141752</xdr:rowOff>
    </xdr:from>
    <xdr:to>
      <xdr:col>13</xdr:col>
      <xdr:colOff>791696</xdr:colOff>
      <xdr:row>91</xdr:row>
      <xdr:rowOff>150159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AF322978-E662-4594-B570-02FC65EAB0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1086970</xdr:colOff>
      <xdr:row>71</xdr:row>
      <xdr:rowOff>134471</xdr:rowOff>
    </xdr:from>
    <xdr:ext cx="184731" cy="264560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6531791-DB74-463F-9FCD-A9353D526841}"/>
            </a:ext>
          </a:extLst>
        </xdr:cNvPr>
        <xdr:cNvSpPr txBox="1"/>
      </xdr:nvSpPr>
      <xdr:spPr>
        <a:xfrm>
          <a:off x="14153029" y="1479176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23B0-90F2-493E-9BF2-455ECBCCF58A}">
  <sheetPr codeName="Лист1"/>
  <dimension ref="B2:AT61"/>
  <sheetViews>
    <sheetView tabSelected="1" topLeftCell="O8" zoomScaleNormal="100" workbookViewId="0">
      <selection activeCell="W19" sqref="W19"/>
    </sheetView>
  </sheetViews>
  <sheetFormatPr defaultRowHeight="15" x14ac:dyDescent="0.25"/>
  <cols>
    <col min="2" max="2" width="15.5703125" customWidth="1"/>
    <col min="3" max="3" width="14.42578125" customWidth="1"/>
    <col min="5" max="5" width="18.7109375" customWidth="1"/>
    <col min="6" max="6" width="14.140625" customWidth="1"/>
    <col min="9" max="9" width="13" bestFit="1" customWidth="1"/>
    <col min="10" max="10" width="11.42578125" customWidth="1"/>
    <col min="11" max="11" width="17.28515625" bestFit="1" customWidth="1"/>
    <col min="12" max="13" width="18.140625" bestFit="1" customWidth="1"/>
    <col min="14" max="14" width="18.85546875" customWidth="1"/>
    <col min="15" max="15" width="17" customWidth="1"/>
    <col min="16" max="16" width="21.140625" bestFit="1" customWidth="1"/>
    <col min="17" max="17" width="12.7109375" customWidth="1"/>
    <col min="22" max="22" width="15.28515625" customWidth="1"/>
    <col min="23" max="23" width="17.7109375" customWidth="1"/>
    <col min="25" max="25" width="11.7109375" customWidth="1"/>
    <col min="39" max="39" width="13.42578125" customWidth="1"/>
    <col min="40" max="40" width="10.7109375" customWidth="1"/>
    <col min="41" max="41" width="12.28515625" customWidth="1"/>
    <col min="42" max="42" width="17.140625" customWidth="1"/>
    <col min="43" max="43" width="18" customWidth="1"/>
    <col min="44" max="44" width="21.42578125" customWidth="1"/>
    <col min="45" max="45" width="23.85546875" customWidth="1"/>
    <col min="46" max="46" width="33.7109375" customWidth="1"/>
  </cols>
  <sheetData>
    <row r="2" spans="2:43" ht="23.25" x14ac:dyDescent="0.35">
      <c r="D2" s="17" t="s">
        <v>0</v>
      </c>
      <c r="E2" s="17"/>
      <c r="F2" s="17"/>
      <c r="G2" s="17"/>
      <c r="H2" s="1"/>
      <c r="J2" s="18" t="s">
        <v>1</v>
      </c>
      <c r="K2" s="18"/>
      <c r="L2" s="18"/>
      <c r="M2" s="18"/>
      <c r="V2" s="19" t="s">
        <v>2</v>
      </c>
      <c r="W2" s="19"/>
      <c r="X2" s="19"/>
      <c r="Y2" s="19"/>
      <c r="Z2" s="19"/>
      <c r="AA2" s="19"/>
      <c r="AB2" s="19"/>
      <c r="AJ2" s="18" t="s">
        <v>34</v>
      </c>
      <c r="AK2" s="18"/>
      <c r="AL2" s="18"/>
      <c r="AM2" s="18"/>
      <c r="AN2" s="18"/>
      <c r="AO2" s="18"/>
      <c r="AP2" s="18"/>
      <c r="AQ2" s="18"/>
    </row>
    <row r="3" spans="2:43" ht="15.75" x14ac:dyDescent="0.25">
      <c r="B3" s="20" t="s">
        <v>3</v>
      </c>
      <c r="C3" s="20"/>
    </row>
    <row r="4" spans="2:43" ht="15.75" x14ac:dyDescent="0.25">
      <c r="B4" s="2" t="s">
        <v>4</v>
      </c>
      <c r="C4" s="2" t="s">
        <v>5</v>
      </c>
    </row>
    <row r="5" spans="2:43" ht="16.5" thickBot="1" x14ac:dyDescent="0.3">
      <c r="B5" s="2" t="s">
        <v>6</v>
      </c>
      <c r="C5" s="2" t="s">
        <v>7</v>
      </c>
    </row>
    <row r="6" spans="2:43" ht="17.25" thickTop="1" thickBot="1" x14ac:dyDescent="0.3">
      <c r="B6" s="3"/>
      <c r="C6" s="3"/>
      <c r="AI6" s="4" t="s">
        <v>9</v>
      </c>
      <c r="AJ6" s="4" t="s">
        <v>11</v>
      </c>
    </row>
    <row r="7" spans="2:43" ht="17.25" thickTop="1" thickBot="1" x14ac:dyDescent="0.3">
      <c r="B7" s="20" t="s">
        <v>8</v>
      </c>
      <c r="C7" s="20"/>
      <c r="AI7" s="4">
        <v>-0.99999899999999997</v>
      </c>
      <c r="AJ7" s="4">
        <f>AI7*LOG10(AI7+1)-1</f>
        <v>4.9999939999875114</v>
      </c>
    </row>
    <row r="8" spans="2:43" ht="17.25" thickTop="1" thickBot="1" x14ac:dyDescent="0.3">
      <c r="B8" s="3"/>
      <c r="C8" s="3"/>
      <c r="AF8" s="15" t="s">
        <v>9</v>
      </c>
      <c r="AG8" s="15" t="s">
        <v>11</v>
      </c>
      <c r="AI8" s="4">
        <v>0</v>
      </c>
      <c r="AJ8" s="4">
        <f t="shared" ref="AJ8:AJ14" si="0">AI8*LOG10(AI8+1)-1</f>
        <v>-1</v>
      </c>
    </row>
    <row r="9" spans="2:43" ht="17.25" thickTop="1" thickBot="1" x14ac:dyDescent="0.3">
      <c r="B9" s="2" t="s">
        <v>9</v>
      </c>
      <c r="C9" s="2" t="s">
        <v>10</v>
      </c>
      <c r="E9" s="4" t="s">
        <v>9</v>
      </c>
      <c r="F9" s="4" t="s">
        <v>11</v>
      </c>
      <c r="P9" s="3" t="s">
        <v>12</v>
      </c>
      <c r="AF9" s="15">
        <v>0</v>
      </c>
      <c r="AG9" s="15">
        <v>-1</v>
      </c>
      <c r="AI9" s="4">
        <v>2</v>
      </c>
      <c r="AJ9" s="4">
        <f t="shared" si="0"/>
        <v>-4.5757490560675129E-2</v>
      </c>
    </row>
    <row r="10" spans="2:43" ht="17.25" thickTop="1" thickBot="1" x14ac:dyDescent="0.3">
      <c r="B10" s="5">
        <v>-0.99999000000000005</v>
      </c>
      <c r="C10" s="2">
        <f>B10*LOG10(B10+1)-1</f>
        <v>3.9999500000019763</v>
      </c>
      <c r="E10" s="4">
        <v>-0.99999899999999997</v>
      </c>
      <c r="F10" s="4">
        <f>E10*LOG10(E10+1)-1</f>
        <v>4.9999939999875114</v>
      </c>
      <c r="P10" s="3">
        <f>MDETERM(I14:P21)</f>
        <v>7.0518511400416625E+18</v>
      </c>
      <c r="AF10" s="15">
        <v>4</v>
      </c>
      <c r="AG10" s="15">
        <v>1.7958800173440754</v>
      </c>
      <c r="AI10" s="4">
        <v>4</v>
      </c>
      <c r="AJ10" s="4">
        <f t="shared" si="0"/>
        <v>1.7958800173440754</v>
      </c>
    </row>
    <row r="11" spans="2:43" ht="17.25" thickTop="1" thickBot="1" x14ac:dyDescent="0.3">
      <c r="B11" s="2">
        <v>-0.5</v>
      </c>
      <c r="C11" s="2">
        <f t="shared" ref="C11:C33" si="1">B11*LOG10(B11+1)-1</f>
        <v>-0.84948500216800937</v>
      </c>
      <c r="E11" s="4">
        <v>0</v>
      </c>
      <c r="F11" s="4">
        <f t="shared" ref="F11:F17" si="2">E11*LOG10(E11+1)-1</f>
        <v>-1</v>
      </c>
      <c r="S11" s="4" t="s">
        <v>9</v>
      </c>
      <c r="T11" s="4" t="s">
        <v>11</v>
      </c>
      <c r="V11" s="3" t="s">
        <v>9</v>
      </c>
      <c r="W11" s="3" cm="1">
        <f t="array" ref="W11:AD12">TRANSPOSE(S12:T19)</f>
        <v>-0.99999899999999997</v>
      </c>
      <c r="X11" s="3">
        <v>0</v>
      </c>
      <c r="Y11" s="3">
        <v>2</v>
      </c>
      <c r="Z11" s="3">
        <v>4</v>
      </c>
      <c r="AA11" s="3">
        <v>6</v>
      </c>
      <c r="AB11" s="3">
        <v>8</v>
      </c>
      <c r="AC11" s="3">
        <v>10</v>
      </c>
      <c r="AD11" s="3">
        <v>12</v>
      </c>
      <c r="AF11" s="15">
        <v>8</v>
      </c>
      <c r="AG11" s="15">
        <v>6.633940075514599</v>
      </c>
      <c r="AI11" s="4">
        <v>6</v>
      </c>
      <c r="AJ11" s="4">
        <f t="shared" si="0"/>
        <v>4.0705882400855407</v>
      </c>
    </row>
    <row r="12" spans="2:43" ht="17.25" thickTop="1" thickBot="1" x14ac:dyDescent="0.3">
      <c r="B12" s="2">
        <v>-1.00000000000655E-5</v>
      </c>
      <c r="C12" s="2">
        <f t="shared" si="1"/>
        <v>-0.9999999999565703</v>
      </c>
      <c r="E12" s="4">
        <v>2</v>
      </c>
      <c r="F12" s="4">
        <f t="shared" si="2"/>
        <v>-4.5757490560675129E-2</v>
      </c>
      <c r="S12" s="4">
        <v>-0.99999899999999997</v>
      </c>
      <c r="T12" s="4">
        <f>S12*LOG10(S12+1)-1</f>
        <v>4.9999939999875114</v>
      </c>
      <c r="V12" s="3" t="s">
        <v>11</v>
      </c>
      <c r="W12" s="3">
        <v>4.9999939999875114</v>
      </c>
      <c r="X12" s="3">
        <v>-1</v>
      </c>
      <c r="Y12" s="3">
        <v>-4.5757490560675129E-2</v>
      </c>
      <c r="Z12" s="3">
        <v>1.7958800173440754</v>
      </c>
      <c r="AA12" s="3">
        <v>4.0705882400855407</v>
      </c>
      <c r="AB12" s="3">
        <v>6.633940075514599</v>
      </c>
      <c r="AC12" s="3">
        <v>9.4139268515822518</v>
      </c>
      <c r="AD12" s="3">
        <v>12.36732022768204</v>
      </c>
      <c r="AF12" s="15">
        <v>12</v>
      </c>
      <c r="AG12" s="15">
        <v>12.36732022768204</v>
      </c>
      <c r="AI12" s="4">
        <v>8</v>
      </c>
      <c r="AJ12" s="4">
        <f t="shared" si="0"/>
        <v>6.633940075514599</v>
      </c>
    </row>
    <row r="13" spans="2:43" ht="17.25" thickTop="1" thickBot="1" x14ac:dyDescent="0.3">
      <c r="B13" s="2">
        <v>0.49997999999999998</v>
      </c>
      <c r="C13" s="2">
        <f t="shared" si="1"/>
        <v>-0.91196078749737608</v>
      </c>
      <c r="E13" s="4">
        <v>4</v>
      </c>
      <c r="F13" s="4">
        <f t="shared" si="2"/>
        <v>1.7958800173440754</v>
      </c>
      <c r="I13" s="2" t="s">
        <v>13</v>
      </c>
      <c r="J13" s="2" t="s">
        <v>14</v>
      </c>
      <c r="K13" s="2" t="s">
        <v>15</v>
      </c>
      <c r="L13" s="2" t="s">
        <v>16</v>
      </c>
      <c r="M13" s="2" t="s">
        <v>17</v>
      </c>
      <c r="N13" s="2" t="s">
        <v>18</v>
      </c>
      <c r="O13" s="2" t="s">
        <v>19</v>
      </c>
      <c r="P13" s="2" t="s">
        <v>20</v>
      </c>
      <c r="Q13" s="2" t="s">
        <v>21</v>
      </c>
      <c r="S13" s="4">
        <v>0</v>
      </c>
      <c r="T13" s="4">
        <f t="shared" ref="T13:T19" si="3">S13*LOG10(S13+1)-1</f>
        <v>-1</v>
      </c>
      <c r="AI13" s="4">
        <v>10</v>
      </c>
      <c r="AJ13" s="4">
        <f t="shared" si="0"/>
        <v>9.4139268515822518</v>
      </c>
    </row>
    <row r="14" spans="2:43" ht="17.25" thickTop="1" thickBot="1" x14ac:dyDescent="0.3">
      <c r="B14" s="2">
        <v>0.99997000000000003</v>
      </c>
      <c r="C14" s="2">
        <f t="shared" si="1"/>
        <v>-0.6989855495065419</v>
      </c>
      <c r="E14" s="4">
        <v>6</v>
      </c>
      <c r="F14" s="4">
        <f t="shared" si="2"/>
        <v>4.0705882400855407</v>
      </c>
      <c r="I14" s="2">
        <v>1</v>
      </c>
      <c r="J14" s="6">
        <f>E10</f>
        <v>-0.99999899999999997</v>
      </c>
      <c r="K14" s="7">
        <f>$J14^2</f>
        <v>0.99999800000099992</v>
      </c>
      <c r="L14" s="7">
        <f>$J14^3</f>
        <v>-0.99999700000299985</v>
      </c>
      <c r="M14" s="7">
        <f>$J14^4</f>
        <v>0.99999600000599986</v>
      </c>
      <c r="N14" s="7">
        <f>$J14^5</f>
        <v>-0.99999500000999986</v>
      </c>
      <c r="O14" s="7">
        <f>$J14^6</f>
        <v>0.99999400001499972</v>
      </c>
      <c r="P14" s="7">
        <f>$J14^7</f>
        <v>-0.99999300002099967</v>
      </c>
      <c r="Q14" s="2">
        <f>$F10</f>
        <v>4.9999939999875114</v>
      </c>
      <c r="S14" s="4">
        <v>2</v>
      </c>
      <c r="T14" s="4">
        <f t="shared" si="3"/>
        <v>-4.5757490560675129E-2</v>
      </c>
      <c r="AI14" s="4">
        <v>12</v>
      </c>
      <c r="AJ14" s="4">
        <f t="shared" si="0"/>
        <v>12.36732022768204</v>
      </c>
    </row>
    <row r="15" spans="2:43" ht="17.25" thickTop="1" thickBot="1" x14ac:dyDescent="0.3">
      <c r="B15" s="2">
        <v>1.49996</v>
      </c>
      <c r="C15" s="2">
        <f t="shared" si="1"/>
        <v>-0.40311632746529102</v>
      </c>
      <c r="E15" s="4">
        <v>8</v>
      </c>
      <c r="F15" s="4">
        <f t="shared" si="2"/>
        <v>6.633940075514599</v>
      </c>
      <c r="I15" s="2">
        <v>1</v>
      </c>
      <c r="J15" s="8">
        <f t="shared" ref="J15:J21" si="4">E11</f>
        <v>0</v>
      </c>
      <c r="K15" s="8">
        <f t="shared" ref="K15:K21" si="5">$J15^2</f>
        <v>0</v>
      </c>
      <c r="L15" s="8">
        <f t="shared" ref="L15:L21" si="6">$J15^3</f>
        <v>0</v>
      </c>
      <c r="M15" s="8">
        <f t="shared" ref="M15:M21" si="7">$J15^4</f>
        <v>0</v>
      </c>
      <c r="N15" s="8">
        <f t="shared" ref="N15:N21" si="8">$J15^5</f>
        <v>0</v>
      </c>
      <c r="O15" s="8">
        <f t="shared" ref="O15:O21" si="9">$J15^6</f>
        <v>0</v>
      </c>
      <c r="P15" s="8">
        <f t="shared" ref="P15:P21" si="10">$J15^7</f>
        <v>0</v>
      </c>
      <c r="Q15" s="2">
        <f t="shared" ref="Q15:Q20" si="11">$F11</f>
        <v>-1</v>
      </c>
      <c r="S15" s="4">
        <v>4</v>
      </c>
      <c r="T15" s="4">
        <f t="shared" si="3"/>
        <v>1.7958800173440754</v>
      </c>
      <c r="AK15" t="s">
        <v>36</v>
      </c>
      <c r="AL15" s="14" t="s">
        <v>35</v>
      </c>
      <c r="AM15" s="14" t="s">
        <v>21</v>
      </c>
    </row>
    <row r="16" spans="2:43" ht="17.25" thickTop="1" thickBot="1" x14ac:dyDescent="0.3">
      <c r="B16" s="2">
        <v>1.9999499999999999</v>
      </c>
      <c r="C16" s="2">
        <f t="shared" si="1"/>
        <v>-4.5795822864864832E-2</v>
      </c>
      <c r="E16" s="4">
        <v>10</v>
      </c>
      <c r="F16" s="4">
        <f t="shared" si="2"/>
        <v>9.4139268515822518</v>
      </c>
      <c r="I16" s="2">
        <v>1</v>
      </c>
      <c r="J16" s="8">
        <f t="shared" si="4"/>
        <v>2</v>
      </c>
      <c r="K16" s="8">
        <f t="shared" si="5"/>
        <v>4</v>
      </c>
      <c r="L16" s="8">
        <f t="shared" si="6"/>
        <v>8</v>
      </c>
      <c r="M16" s="8">
        <f t="shared" si="7"/>
        <v>16</v>
      </c>
      <c r="N16" s="8">
        <f t="shared" si="8"/>
        <v>32</v>
      </c>
      <c r="O16" s="8">
        <f t="shared" si="9"/>
        <v>64</v>
      </c>
      <c r="P16" s="8">
        <f t="shared" si="10"/>
        <v>128</v>
      </c>
      <c r="Q16" s="2">
        <f t="shared" si="11"/>
        <v>-4.5757490560675129E-2</v>
      </c>
      <c r="S16" s="4">
        <v>6</v>
      </c>
      <c r="T16" s="4">
        <f t="shared" si="3"/>
        <v>4.0705882400855407</v>
      </c>
      <c r="V16" s="9" t="s">
        <v>9</v>
      </c>
      <c r="W16" s="10" t="s">
        <v>22</v>
      </c>
      <c r="Y16" s="9" t="s">
        <v>9</v>
      </c>
      <c r="Z16" s="10" t="s">
        <v>22</v>
      </c>
      <c r="AB16" t="s">
        <v>9</v>
      </c>
      <c r="AC16">
        <v>0</v>
      </c>
      <c r="AD16">
        <v>4</v>
      </c>
      <c r="AE16">
        <v>8</v>
      </c>
      <c r="AF16" s="16">
        <v>12</v>
      </c>
      <c r="AK16">
        <v>0</v>
      </c>
      <c r="AL16" s="14">
        <v>-0.99999899999999997</v>
      </c>
      <c r="AM16" s="14">
        <v>4.9999939999875114</v>
      </c>
    </row>
    <row r="17" spans="2:46" ht="17.25" thickTop="1" thickBot="1" x14ac:dyDescent="0.3">
      <c r="B17" s="2">
        <v>2.4999400000000001</v>
      </c>
      <c r="C17" s="2">
        <f t="shared" si="1"/>
        <v>0.36011885445954328</v>
      </c>
      <c r="E17" s="4">
        <v>12</v>
      </c>
      <c r="F17" s="4">
        <f t="shared" si="2"/>
        <v>12.36732022768204</v>
      </c>
      <c r="I17" s="2">
        <v>1</v>
      </c>
      <c r="J17" s="8">
        <f t="shared" si="4"/>
        <v>4</v>
      </c>
      <c r="K17" s="8">
        <f t="shared" si="5"/>
        <v>16</v>
      </c>
      <c r="L17" s="8">
        <f t="shared" si="6"/>
        <v>64</v>
      </c>
      <c r="M17" s="8">
        <f t="shared" si="7"/>
        <v>256</v>
      </c>
      <c r="N17" s="8">
        <f t="shared" si="8"/>
        <v>1024</v>
      </c>
      <c r="O17" s="8">
        <f t="shared" si="9"/>
        <v>4096</v>
      </c>
      <c r="P17" s="8">
        <f t="shared" si="10"/>
        <v>16384</v>
      </c>
      <c r="Q17" s="2">
        <f t="shared" si="11"/>
        <v>1.7958800173440754</v>
      </c>
      <c r="S17" s="4">
        <v>8</v>
      </c>
      <c r="T17" s="4">
        <f t="shared" si="3"/>
        <v>6.633940075514599</v>
      </c>
      <c r="V17" s="11">
        <v>-0.99999000000000005</v>
      </c>
      <c r="W17" s="10" cm="1">
        <f t="array" ref="W17">Lagrange_unified($W$11:$AD$11,$W$12:$AD$12,V17)</f>
        <v>4.9998870545414302</v>
      </c>
      <c r="Y17" s="11">
        <v>-0.99999000000000005</v>
      </c>
      <c r="Z17" s="10" cm="1">
        <f t="array" ref="Z17">Lagrange_unified($AC$16:$AF$16,$AC$17:$AF$17,Y17)</f>
        <v>-1.2454817229378006</v>
      </c>
      <c r="AB17" t="s">
        <v>11</v>
      </c>
      <c r="AC17">
        <v>-1</v>
      </c>
      <c r="AD17" s="15">
        <v>1.7958800173440754</v>
      </c>
      <c r="AE17" s="15">
        <v>6.633940075514599</v>
      </c>
      <c r="AF17" s="15">
        <v>12.36732022768204</v>
      </c>
      <c r="AK17">
        <v>1</v>
      </c>
      <c r="AL17" s="14">
        <v>0</v>
      </c>
      <c r="AM17" s="14">
        <v>-1</v>
      </c>
      <c r="AN17">
        <f>(AM17-AM16)/(AL17-AL16)</f>
        <v>-5.9999999999875113</v>
      </c>
    </row>
    <row r="18" spans="2:46" ht="17.25" thickTop="1" thickBot="1" x14ac:dyDescent="0.3">
      <c r="B18" s="2">
        <v>2.99993</v>
      </c>
      <c r="C18" s="2">
        <f t="shared" si="1"/>
        <v>0.80611502965670345</v>
      </c>
      <c r="I18" s="2">
        <v>1</v>
      </c>
      <c r="J18" s="8">
        <f t="shared" si="4"/>
        <v>6</v>
      </c>
      <c r="K18" s="8">
        <f t="shared" si="5"/>
        <v>36</v>
      </c>
      <c r="L18" s="8">
        <f t="shared" si="6"/>
        <v>216</v>
      </c>
      <c r="M18" s="8">
        <f t="shared" si="7"/>
        <v>1296</v>
      </c>
      <c r="N18" s="8">
        <f t="shared" si="8"/>
        <v>7776</v>
      </c>
      <c r="O18" s="8">
        <f t="shared" si="9"/>
        <v>46656</v>
      </c>
      <c r="P18" s="8">
        <f t="shared" si="10"/>
        <v>279936</v>
      </c>
      <c r="Q18" s="2">
        <f t="shared" si="11"/>
        <v>4.0705882400855407</v>
      </c>
      <c r="S18" s="4">
        <v>10</v>
      </c>
      <c r="T18" s="4">
        <f t="shared" si="3"/>
        <v>9.4139268515822518</v>
      </c>
      <c r="V18" s="9">
        <v>-0.5</v>
      </c>
      <c r="W18" s="10" cm="1">
        <f t="array" ref="W18">Lagrange_unified($W$11:$AD$11,$W$12:$AD$12,V18)</f>
        <v>0.77116949957381442</v>
      </c>
      <c r="Y18" s="9">
        <v>-0.5</v>
      </c>
      <c r="Z18" s="10" cm="1">
        <f t="array" ref="Z18">Lagrange_unified($AC$16:$AF$16,$AC$17:$AF$17,Y18)</f>
        <v>-1.1487752167892884</v>
      </c>
      <c r="AK18">
        <v>2</v>
      </c>
      <c r="AL18" s="14">
        <v>2</v>
      </c>
      <c r="AM18" s="14">
        <v>-4.5757490560675129E-2</v>
      </c>
      <c r="AN18">
        <f t="shared" ref="AN18:AN22" si="12">(AM18-AM17)/(AL18-AL17)</f>
        <v>0.47712125471966244</v>
      </c>
      <c r="AO18">
        <f>(AN18-AN17)/(AL18-AL16)</f>
        <v>2.1590411379161041</v>
      </c>
    </row>
    <row r="19" spans="2:46" ht="17.25" thickTop="1" thickBot="1" x14ac:dyDescent="0.3">
      <c r="B19" s="2">
        <v>3.4999199999999999</v>
      </c>
      <c r="C19" s="2">
        <f t="shared" si="1"/>
        <v>1.286164518822301</v>
      </c>
      <c r="I19" s="2">
        <v>1</v>
      </c>
      <c r="J19" s="8">
        <f t="shared" si="4"/>
        <v>8</v>
      </c>
      <c r="K19" s="8">
        <f t="shared" si="5"/>
        <v>64</v>
      </c>
      <c r="L19" s="8">
        <f t="shared" si="6"/>
        <v>512</v>
      </c>
      <c r="M19" s="8">
        <f t="shared" si="7"/>
        <v>4096</v>
      </c>
      <c r="N19" s="8">
        <f t="shared" si="8"/>
        <v>32768</v>
      </c>
      <c r="O19" s="8">
        <f t="shared" si="9"/>
        <v>262144</v>
      </c>
      <c r="P19" s="8">
        <f t="shared" si="10"/>
        <v>2097152</v>
      </c>
      <c r="Q19" s="2">
        <f t="shared" si="11"/>
        <v>6.633940075514599</v>
      </c>
      <c r="S19" s="4">
        <v>12</v>
      </c>
      <c r="T19" s="4">
        <f t="shared" si="3"/>
        <v>12.36732022768204</v>
      </c>
      <c r="V19" s="9">
        <v>-1.00000000000655E-5</v>
      </c>
      <c r="W19" s="10" cm="1">
        <f t="array" ref="W19">Lagrange_unified($W$11:$AD$11,$W$12:$AD$12,V19)</f>
        <v>-0.99998117855757895</v>
      </c>
      <c r="Y19" s="9">
        <v>-1.00000000000655E-5</v>
      </c>
      <c r="Z19" s="10" cm="1">
        <f t="array" ref="Z19">Lagrange_unified($AC$16:$AF$16,$AC$17:$AF$17,Y19)</f>
        <v>-1.000003481248404</v>
      </c>
      <c r="AK19">
        <v>3</v>
      </c>
      <c r="AL19" s="14">
        <v>4</v>
      </c>
      <c r="AM19" s="14">
        <v>1.7958800173440754</v>
      </c>
      <c r="AN19">
        <f t="shared" si="12"/>
        <v>0.92081875395237534</v>
      </c>
      <c r="AO19">
        <f t="shared" ref="AO19:AO22" si="13">(AN19-AN18)/(AL19-AL17)</f>
        <v>0.11092437480817822</v>
      </c>
      <c r="AP19">
        <f>(AO19-AO18)/(AL19-AL16)</f>
        <v>-0.40962343454627215</v>
      </c>
    </row>
    <row r="20" spans="2:46" ht="16.5" thickTop="1" x14ac:dyDescent="0.25">
      <c r="B20" s="2">
        <v>3.9999099999999999</v>
      </c>
      <c r="C20" s="2">
        <f t="shared" si="1"/>
        <v>1.7957858412631249</v>
      </c>
      <c r="I20" s="2">
        <v>1</v>
      </c>
      <c r="J20" s="8">
        <f t="shared" si="4"/>
        <v>10</v>
      </c>
      <c r="K20" s="8">
        <f t="shared" si="5"/>
        <v>100</v>
      </c>
      <c r="L20" s="8">
        <f t="shared" si="6"/>
        <v>1000</v>
      </c>
      <c r="M20" s="8">
        <f t="shared" si="7"/>
        <v>10000</v>
      </c>
      <c r="N20" s="8">
        <f t="shared" si="8"/>
        <v>100000</v>
      </c>
      <c r="O20" s="8">
        <f t="shared" si="9"/>
        <v>1000000</v>
      </c>
      <c r="P20" s="8">
        <f t="shared" si="10"/>
        <v>10000000</v>
      </c>
      <c r="Q20" s="2">
        <f t="shared" si="11"/>
        <v>9.4139268515822518</v>
      </c>
      <c r="V20" s="9">
        <v>0.49997999999999998</v>
      </c>
      <c r="W20" s="10" cm="1">
        <f t="array" ref="W20">Lagrange_unified($W$11:$AD$11,$W$12:$AD$12,V20)</f>
        <v>-1.4012412267138363</v>
      </c>
      <c r="Y20" s="9">
        <v>0.49997999999999998</v>
      </c>
      <c r="Z20" s="10" cm="1">
        <f t="array" ref="Z20">Lagrange_unified($AC$16:$AF$16,$AC$17:$AF$17,Y20)</f>
        <v>-0.80140494423303132</v>
      </c>
      <c r="AK20">
        <v>4</v>
      </c>
      <c r="AL20" s="14">
        <v>6</v>
      </c>
      <c r="AM20" s="14">
        <v>4.0705882400855407</v>
      </c>
      <c r="AN20">
        <f t="shared" si="12"/>
        <v>1.1373541113707326</v>
      </c>
      <c r="AO20">
        <f t="shared" si="13"/>
        <v>5.4133839354589319E-2</v>
      </c>
      <c r="AP20">
        <f t="shared" ref="AP20:AP23" si="14">(AO20-AO19)/(AL20-AL17)</f>
        <v>-9.465089242264817E-3</v>
      </c>
      <c r="AQ20">
        <f>(AP20-AP19)/(AL20-AL16)</f>
        <v>5.716548606707049E-2</v>
      </c>
    </row>
    <row r="21" spans="2:46" ht="15.75" x14ac:dyDescent="0.25">
      <c r="B21" s="2">
        <v>4.4999000000000002</v>
      </c>
      <c r="C21" s="2">
        <f t="shared" si="1"/>
        <v>2.3315225337368655</v>
      </c>
      <c r="I21" s="2">
        <v>1</v>
      </c>
      <c r="J21" s="8">
        <f t="shared" si="4"/>
        <v>12</v>
      </c>
      <c r="K21" s="8">
        <f t="shared" si="5"/>
        <v>144</v>
      </c>
      <c r="L21" s="8">
        <f t="shared" si="6"/>
        <v>1728</v>
      </c>
      <c r="M21" s="8">
        <f t="shared" si="7"/>
        <v>20736</v>
      </c>
      <c r="N21" s="8">
        <f t="shared" si="8"/>
        <v>248832</v>
      </c>
      <c r="O21" s="8">
        <f t="shared" si="9"/>
        <v>2985984</v>
      </c>
      <c r="P21" s="8">
        <f t="shared" si="10"/>
        <v>35831808</v>
      </c>
      <c r="Q21" s="2">
        <f>$F17</f>
        <v>12.36732022768204</v>
      </c>
      <c r="V21" s="9">
        <v>0.99997000000000003</v>
      </c>
      <c r="W21" s="10" cm="1">
        <f t="array" ref="W21">Lagrange_unified($W$11:$AD$11,$W$12:$AD$12,V21)</f>
        <v>-1.1321432332542918</v>
      </c>
      <c r="Y21" s="9">
        <v>0.99997000000000003</v>
      </c>
      <c r="Z21" s="10" cm="1">
        <f t="array" ref="Z21">Lagrange_unified($AC$16:$AF$16,$AC$17:$AF$17,Y21)</f>
        <v>-0.55521943218185921</v>
      </c>
      <c r="AK21">
        <v>5</v>
      </c>
      <c r="AL21" s="14">
        <v>8</v>
      </c>
      <c r="AM21" s="14">
        <v>6.633940075514599</v>
      </c>
      <c r="AN21">
        <f t="shared" si="12"/>
        <v>1.2816759177145292</v>
      </c>
      <c r="AO21">
        <f t="shared" si="13"/>
        <v>3.6080451585949136E-2</v>
      </c>
      <c r="AP21">
        <f t="shared" si="14"/>
        <v>-3.0088979614400304E-3</v>
      </c>
      <c r="AQ21">
        <f t="shared" ref="AQ21:AQ23" si="15">(AP21-AP20)/(AL21-AL17)</f>
        <v>8.0702391010309838E-4</v>
      </c>
      <c r="AR21">
        <f>(AQ21-AQ20)/(AL21-AL16)</f>
        <v>-6.2620520465577149E-3</v>
      </c>
    </row>
    <row r="22" spans="2:46" ht="15.75" x14ac:dyDescent="0.25">
      <c r="B22" s="2">
        <v>4.9998899999999997</v>
      </c>
      <c r="C22" s="2">
        <f t="shared" si="1"/>
        <v>2.8906308454640706</v>
      </c>
      <c r="V22" s="9">
        <v>1.49996</v>
      </c>
      <c r="W22" s="10" cm="1">
        <f t="array" ref="W22">Lagrange_unified($W$11:$AD$11,$W$12:$AD$12,V22)</f>
        <v>-0.60811133758114733</v>
      </c>
      <c r="Y22" s="9">
        <v>1.49996</v>
      </c>
      <c r="Z22" s="10" cm="1">
        <f t="array" ref="Z22">Lagrange_unified($AC$16:$AF$16,$AC$17:$AF$17,Y22)</f>
        <v>-0.26368677153357778</v>
      </c>
      <c r="AK22">
        <v>6</v>
      </c>
      <c r="AL22" s="14">
        <v>10</v>
      </c>
      <c r="AM22" s="14">
        <v>9.4139268515822518</v>
      </c>
      <c r="AN22">
        <f t="shared" si="12"/>
        <v>1.3899933880338264</v>
      </c>
      <c r="AO22">
        <f t="shared" si="13"/>
        <v>2.7079367579824321E-2</v>
      </c>
      <c r="AP22">
        <f t="shared" si="14"/>
        <v>-1.5001806676874692E-3</v>
      </c>
      <c r="AQ22">
        <f t="shared" si="15"/>
        <v>1.8858966171907016E-4</v>
      </c>
      <c r="AR22">
        <f>(AQ22-AQ21)/(AL22-AL16)</f>
        <v>-5.6221300418666238E-5</v>
      </c>
      <c r="AS22">
        <f>(AR22-AR21)/(AL22-AL16)</f>
        <v>5.6416648275504824E-4</v>
      </c>
    </row>
    <row r="23" spans="2:46" ht="18.75" x14ac:dyDescent="0.3">
      <c r="B23" s="2">
        <v>5.4998800000000001</v>
      </c>
      <c r="C23" s="2">
        <f t="shared" si="1"/>
        <v>3.4708818148944394</v>
      </c>
      <c r="J23" s="17" t="s">
        <v>23</v>
      </c>
      <c r="K23" s="17"/>
      <c r="L23" s="17"/>
      <c r="M23" s="17"/>
      <c r="N23" s="17"/>
      <c r="V23" s="9">
        <v>1.9999499999999999</v>
      </c>
      <c r="W23" s="10" cm="1">
        <f t="array" ref="W23">Lagrange_unified($W$11:$AD$11,$W$12:$AD$12,V23)</f>
        <v>-4.5811961608902912E-2</v>
      </c>
      <c r="Y23" s="9">
        <v>1.9999499999999999</v>
      </c>
      <c r="Z23" s="10" cm="1">
        <f t="array" ref="Z23">Lagrange_unified($AC$16:$AF$16,$AC$17:$AF$17,Y23)</f>
        <v>7.0953211273125372E-2</v>
      </c>
      <c r="AK23">
        <v>7</v>
      </c>
      <c r="AL23" s="14">
        <v>12</v>
      </c>
      <c r="AM23" s="14">
        <v>12.36732022768204</v>
      </c>
      <c r="AN23">
        <f>(AM23-AM22)/(AL23-AL22)</f>
        <v>1.476696688049894</v>
      </c>
      <c r="AO23">
        <f>(AN23-AN22)/(AL23-AL21)</f>
        <v>2.167582500401688E-2</v>
      </c>
      <c r="AP23">
        <f t="shared" si="14"/>
        <v>-9.0059042930124011E-4</v>
      </c>
      <c r="AQ23">
        <f t="shared" si="15"/>
        <v>7.4948779798278631E-5</v>
      </c>
      <c r="AR23">
        <f>(AQ23-AQ22)/(AL23-AL17)</f>
        <v>-9.4700734933992944E-6</v>
      </c>
      <c r="AS23">
        <f>(AR23-AR22)/(AL23-AL17)</f>
        <v>3.8959355771055785E-6</v>
      </c>
      <c r="AT23">
        <f>(AS23-AS22)/(AL23-AL16)</f>
        <v>-4.3097737713513877E-5</v>
      </c>
    </row>
    <row r="24" spans="2:46" ht="15.75" x14ac:dyDescent="0.25">
      <c r="B24" s="2">
        <v>5.9998699999999996</v>
      </c>
      <c r="C24" s="2">
        <f t="shared" si="1"/>
        <v>4.0704299851257941</v>
      </c>
      <c r="I24" s="3">
        <f t="array" ref="I24:P31">MINVERSE(I14:P21)</f>
        <v>-3.603167619820177E-14</v>
      </c>
      <c r="J24" s="3">
        <v>1.0000000000001477</v>
      </c>
      <c r="K24" s="3">
        <v>-8.6748133904055585E-14</v>
      </c>
      <c r="L24" s="3">
        <v>2.7043006777058981E-13</v>
      </c>
      <c r="M24" s="3">
        <v>-2.776932329917603E-13</v>
      </c>
      <c r="N24" s="3">
        <v>2.3474337030411283E-13</v>
      </c>
      <c r="O24" s="3">
        <v>-2.6930897561918549E-14</v>
      </c>
      <c r="P24" s="3">
        <v>4.0391746530457759E-15</v>
      </c>
      <c r="V24" s="9">
        <v>2.4999400000000001</v>
      </c>
      <c r="W24" s="10" cm="1">
        <f t="array" ref="W24">Lagrange_unified($W$11:$AD$11,$W$12:$AD$12,V24)</f>
        <v>0.46848568967206311</v>
      </c>
      <c r="Y24" s="9">
        <v>2.4999400000000001</v>
      </c>
      <c r="Z24" s="10" cm="1">
        <f t="array" ref="Z24">Lagrange_unified($AC$16:$AF$16,$AC$17:$AF$17,Y24)</f>
        <v>0.44646068979955877</v>
      </c>
    </row>
    <row r="25" spans="2:46" ht="15.75" x14ac:dyDescent="0.25">
      <c r="B25" s="2">
        <v>6.49986</v>
      </c>
      <c r="C25" s="2">
        <f t="shared" si="1"/>
        <v>4.6877230097151843</v>
      </c>
      <c r="I25" s="3">
        <v>-0.34099300767879093</v>
      </c>
      <c r="J25" s="3">
        <v>-0.22499899999907319</v>
      </c>
      <c r="K25" s="3">
        <v>0.99999933333341506</v>
      </c>
      <c r="L25" s="3">
        <v>-0.74999940000019294</v>
      </c>
      <c r="M25" s="3">
        <v>0.47619006802740677</v>
      </c>
      <c r="N25" s="3">
        <v>-0.20833314814818821</v>
      </c>
      <c r="O25" s="3">
        <v>5.4545404958734597E-2</v>
      </c>
      <c r="P25" s="3">
        <v>-6.4102504931040421E-3</v>
      </c>
      <c r="V25" s="9">
        <v>2.99993</v>
      </c>
      <c r="W25" s="10" cm="1">
        <f t="array" ref="W25">Lagrange_unified($W$11:$AD$11,$W$12:$AD$12,V25)</f>
        <v>0.92584511136843461</v>
      </c>
      <c r="Y25" s="9">
        <v>2.99993</v>
      </c>
      <c r="Z25" s="10" cm="1">
        <f t="array" ref="Z25">Lagrange_unified($AC$16:$AF$16,$AC$17:$AF$17,Y25)</f>
        <v>0.86059583760703462</v>
      </c>
    </row>
    <row r="26" spans="2:46" ht="15.75" x14ac:dyDescent="0.25">
      <c r="B26" s="2">
        <v>6.9998500000000003</v>
      </c>
      <c r="C26" s="2">
        <f t="shared" si="1"/>
        <v>5.3214374449818784</v>
      </c>
      <c r="I26" s="3">
        <v>0.4177164344066216</v>
      </c>
      <c r="J26" s="3">
        <v>-0.66111233611247699</v>
      </c>
      <c r="K26" s="3">
        <v>0.27500081666716891</v>
      </c>
      <c r="L26" s="3">
        <v>-1.8750735000484148E-2</v>
      </c>
      <c r="M26" s="3">
        <v>-2.7777277777413036E-2</v>
      </c>
      <c r="N26" s="3">
        <v>2.0833106481298193E-2</v>
      </c>
      <c r="O26" s="3">
        <v>-6.8181210743304332E-3</v>
      </c>
      <c r="P26" s="3">
        <v>9.0811240959248654E-4</v>
      </c>
      <c r="V26" s="9">
        <v>3.4999199999999999</v>
      </c>
      <c r="W26" s="10" cm="1">
        <f t="array" ref="W26">Lagrange_unified($W$11:$AD$11,$W$12:$AD$12,V26)</f>
        <v>1.3551997184240858</v>
      </c>
      <c r="Y26" s="9">
        <v>3.4999199999999999</v>
      </c>
      <c r="Z26" s="10" cm="1">
        <f t="array" ref="Z26">Lagrange_unified($AC$16:$AF$16,$AC$17:$AF$17,Y26)</f>
        <v>1.3111188282568629</v>
      </c>
    </row>
    <row r="27" spans="2:46" ht="15.75" x14ac:dyDescent="0.25">
      <c r="B27" s="2">
        <v>7.4998399999999998</v>
      </c>
      <c r="C27" s="2">
        <f t="shared" si="1"/>
        <v>5.9704319243978725</v>
      </c>
      <c r="I27" s="3">
        <v>-0.19228216821892447</v>
      </c>
      <c r="J27" s="3">
        <v>0.43628528611175216</v>
      </c>
      <c r="K27" s="3">
        <v>-0.52361148703731086</v>
      </c>
      <c r="L27" s="3">
        <v>0.4911461716669539</v>
      </c>
      <c r="M27" s="3">
        <v>-0.31944467460341408</v>
      </c>
      <c r="N27" s="3">
        <v>0.14033575257214434</v>
      </c>
      <c r="O27" s="3">
        <v>-3.6742452203896096E-2</v>
      </c>
      <c r="P27" s="3">
        <v>4.3135717126942105E-3</v>
      </c>
      <c r="V27" s="9">
        <v>3.9999099999999999</v>
      </c>
      <c r="W27" s="10" cm="1">
        <f t="array" ref="W27">Lagrange_unified($W$11:$AD$11,$W$12:$AD$12,V27)</f>
        <v>1.7957975547580736</v>
      </c>
      <c r="Y27" s="9">
        <v>3.9999099999999999</v>
      </c>
      <c r="Z27" s="10" cm="1">
        <f t="array" ref="Z27">Lagrange_unified($AC$16:$AF$16,$AC$17:$AF$17,Y27)</f>
        <v>1.7957898353103539</v>
      </c>
    </row>
    <row r="28" spans="2:46" ht="15.75" x14ac:dyDescent="0.25">
      <c r="B28" s="2">
        <v>7.9998300000000002</v>
      </c>
      <c r="C28" s="2">
        <f t="shared" si="1"/>
        <v>6.6337122283410501</v>
      </c>
      <c r="F28" s="12"/>
      <c r="I28" s="3">
        <v>4.3512128584018955E-2</v>
      </c>
      <c r="J28" s="3">
        <v>-0.11241332204874359</v>
      </c>
      <c r="K28" s="3">
        <v>0.1744792517361542</v>
      </c>
      <c r="L28" s="3">
        <v>-0.20442715989587712</v>
      </c>
      <c r="M28" s="3">
        <v>0.15451394097226182</v>
      </c>
      <c r="N28" s="3">
        <v>-7.3350718074868718E-2</v>
      </c>
      <c r="O28" s="3">
        <v>2.0123112388092959E-2</v>
      </c>
      <c r="P28" s="3">
        <v>-2.4372336610381947E-3</v>
      </c>
      <c r="V28" s="9">
        <v>4.4999000000000002</v>
      </c>
      <c r="W28" s="10" cm="1">
        <f t="array" ref="W28">Lagrange_unified($W$11:$AD$11,$W$12:$AD$12,V28)</f>
        <v>2.2798592446311501</v>
      </c>
      <c r="Y28" s="9">
        <v>4.4999000000000002</v>
      </c>
      <c r="Z28" s="10" cm="1">
        <f t="array" ref="Z28">Lagrange_unified($AC$16:$AF$16,$AC$17:$AF$17,Y28)</f>
        <v>2.31236903232882</v>
      </c>
    </row>
    <row r="29" spans="2:46" ht="15.75" x14ac:dyDescent="0.25">
      <c r="B29" s="2">
        <v>8.4998199999999997</v>
      </c>
      <c r="C29" s="2">
        <f t="shared" si="1"/>
        <v>7.310404711255611</v>
      </c>
      <c r="E29" s="9"/>
      <c r="F29" s="9" t="s">
        <v>24</v>
      </c>
      <c r="G29" s="9" t="s">
        <v>25</v>
      </c>
      <c r="I29" s="3">
        <v>-5.1800153076204079E-3</v>
      </c>
      <c r="J29" s="3">
        <v>1.4279529079874514E-2</v>
      </c>
      <c r="K29" s="3">
        <v>-2.5173621238427202E-2</v>
      </c>
      <c r="L29" s="3">
        <v>3.3203134114583858E-2</v>
      </c>
      <c r="M29" s="3">
        <v>-2.7777783978175687E-2</v>
      </c>
      <c r="N29" s="3">
        <v>1.4250581516847738E-2</v>
      </c>
      <c r="O29" s="3">
        <v>-4.1193189350899684E-3</v>
      </c>
      <c r="P29" s="3">
        <v>5.174947480071384E-4</v>
      </c>
      <c r="V29" s="9">
        <v>4.9998899999999997</v>
      </c>
      <c r="W29" s="10" cm="1">
        <f t="array" ref="W29">Lagrange_unified($W$11:$AD$11,$W$12:$AD$12,V29)</f>
        <v>2.8237549390714687</v>
      </c>
      <c r="Y29" s="9">
        <v>4.9998899999999997</v>
      </c>
      <c r="Z29" s="10" cm="1">
        <f t="array" ref="Z29">Lagrange_unified($AC$16:$AF$16,$AC$17:$AF$17,Y29)</f>
        <v>2.8586165928735694</v>
      </c>
      <c r="AM29" s="9" t="s">
        <v>9</v>
      </c>
      <c r="AN29" s="10" t="s">
        <v>37</v>
      </c>
    </row>
    <row r="30" spans="2:46" ht="15.75" x14ac:dyDescent="0.25">
      <c r="B30" s="2">
        <v>8.9998100000000001</v>
      </c>
      <c r="C30" s="2">
        <f t="shared" si="1"/>
        <v>7.9997357365058921</v>
      </c>
      <c r="E30" s="11">
        <v>-0.99999000000000005</v>
      </c>
      <c r="F30" s="13" t="s">
        <v>26</v>
      </c>
      <c r="G30" s="9">
        <f>$F$10+((E30-$E$10)*($F$11-$F$10))/($E$11-$E$10)</f>
        <v>4.9999399999875118</v>
      </c>
      <c r="I30" s="3">
        <v>3.108009184571644E-4</v>
      </c>
      <c r="J30" s="3">
        <v>-8.8975785590342184E-4</v>
      </c>
      <c r="K30" s="3">
        <v>1.6927089409720325E-3</v>
      </c>
      <c r="L30" s="3">
        <v>-2.4088547135413664E-3</v>
      </c>
      <c r="M30" s="3">
        <v>2.1701392609124997E-3</v>
      </c>
      <c r="N30" s="3">
        <v>-1.1935765576774028E-3</v>
      </c>
      <c r="O30" s="3">
        <v>3.6695080277202925E-4</v>
      </c>
      <c r="P30" s="3">
        <v>-4.8410795991535129E-5</v>
      </c>
      <c r="V30" s="9">
        <v>5.4998800000000001</v>
      </c>
      <c r="W30" s="10" cm="1">
        <f t="array" ref="W30">Lagrange_unified($W$11:$AD$11,$W$12:$AD$12,V30)</f>
        <v>3.4260060101901679</v>
      </c>
      <c r="Y30" s="9">
        <v>5.4998800000000001</v>
      </c>
      <c r="Z30" s="10" cm="1">
        <f t="array" ref="Z30">Lagrange_unified($AC$16:$AF$16,$AC$17:$AF$17,Y30)</f>
        <v>3.432292690505915</v>
      </c>
      <c r="AM30" s="11">
        <v>-0.99999000000000005</v>
      </c>
      <c r="AN30" s="10">
        <f>$AM$16+$AN$17*(AM30-$AL$16)+$AO$18*(AM30-$AL$16)*(AM30-$AL$17)+$AP$19*(AM30-$AL$16)*(AM30-$AL$17)*(AM30-$AL$18)+$AQ$20*(AM30-$AL$16)*(AM30-$AL$17)*(AM30-$AL$18)*(AM30-$AL$19)+$AR$21*(AM30-$AL$16)*(AM30-$AL$17)*(AM30-$AL$18)*(AM30-$AL$19)*(AM30-$AL$20)+$AS$22*(AM30-$AL$16)*(AM30-$AL$17)*(AM30-$AL$18)*(AM30-$AL$19)*(AM30-$AL$20)*(AM30-$AL$21)+$AT$23*(AM30-$AL$16)*(AM30-$AL$17)*(AM30-$AL$18)*(AM30-$AL$19)*(AM30-$AL$20)*(AM30-$AL$21)*(AM30-$AL$22)</f>
        <v>4.9998870442807357</v>
      </c>
    </row>
    <row r="31" spans="2:46" ht="15.75" x14ac:dyDescent="0.25">
      <c r="B31" s="2">
        <v>9.4998000000000005</v>
      </c>
      <c r="C31" s="2">
        <f t="shared" si="1"/>
        <v>8.7010155175900792</v>
      </c>
      <c r="E31" s="9">
        <v>-0.5</v>
      </c>
      <c r="F31" s="13" t="s">
        <v>26</v>
      </c>
      <c r="G31" s="9">
        <f t="shared" ref="G31:G32" si="16">$F$10+((E31-$E$10)*($F$11-$F$10))/($E$11-$E$10)</f>
        <v>1.9999999999937561</v>
      </c>
      <c r="I31" s="3">
        <v>-7.4000218680263033E-6</v>
      </c>
      <c r="J31" s="3">
        <v>2.1701410590289312E-5</v>
      </c>
      <c r="K31" s="3">
        <v>-4.340279224535948E-5</v>
      </c>
      <c r="L31" s="3">
        <v>6.5104179687484813E-5</v>
      </c>
      <c r="M31" s="3">
        <v>-6.2003977111666815E-5</v>
      </c>
      <c r="N31" s="3">
        <v>3.6168985500252439E-5</v>
      </c>
      <c r="O31" s="3">
        <v>-1.1837122288222026E-5</v>
      </c>
      <c r="P31" s="3">
        <v>1.6693377352480822E-6</v>
      </c>
      <c r="V31" s="9">
        <v>5.9998699999999996</v>
      </c>
      <c r="W31" s="10" cm="1">
        <f t="array" ref="W31">Lagrange_unified($W$11:$AD$11,$W$12:$AD$12,V31)</f>
        <v>4.0704172462174668</v>
      </c>
      <c r="Y31" s="9">
        <v>5.9998699999999996</v>
      </c>
      <c r="Z31" s="10" cm="1">
        <f t="array" ref="Z31">Lagrange_unified($AC$16:$AF$16,$AC$17:$AF$17,Y31)</f>
        <v>4.0311574987871648</v>
      </c>
      <c r="AM31" s="9">
        <v>-0.5</v>
      </c>
      <c r="AN31" s="10">
        <f t="shared" ref="AN31:AN53" si="17">$AM$16+$AN$17*(AM31-$AL$16)+$AO$18*(AM31-$AL$16)*(AM31-$AL$17)+$AP$19*(AM31-$AL$16)*(AM31-$AL$17)*(AM31-$AL$18)+$AQ$20*(AM31-$AL$16)*(AM31-$AL$17)*(AM31-$AL$18)*(AM31-$AL$19)+$AR$21*(AM31-$AL$16)*(AM31-$AL$17)*(AM31-$AL$18)*(AM31-$AL$19)*(AM31-$AL$20)+$AS$22*(AM31-$AL$16)*(AM31-$AL$17)*(AM31-$AL$18)*(AM31-$AL$19)*(AM31-$AL$20)*(AM31-$AL$21)+$AT$23*(AM31-$AL$16)*(AM31-$AL$17)*(AM31-$AL$18)*(AM31-$AL$19)*(AM31-$AL$20)*(AM31-$AL$21)*(AM31-$AL$22)</f>
        <v>0.7709869398616338</v>
      </c>
    </row>
    <row r="32" spans="2:46" ht="15.75" x14ac:dyDescent="0.25">
      <c r="B32" s="2">
        <v>9.9997900000000008</v>
      </c>
      <c r="C32" s="2">
        <f t="shared" si="1"/>
        <v>9.4136252493033528</v>
      </c>
      <c r="E32" s="9">
        <v>-1.00000000000655E-5</v>
      </c>
      <c r="F32" s="13" t="s">
        <v>26</v>
      </c>
      <c r="G32" s="9">
        <f t="shared" si="16"/>
        <v>-0.99993999999999961</v>
      </c>
      <c r="V32" s="9">
        <v>6.49986</v>
      </c>
      <c r="W32" s="10" cm="1">
        <f t="array" ref="W32">Lagrange_unified($W$11:$AD$11,$W$12:$AD$12,V32)</f>
        <v>4.7326453000899864</v>
      </c>
      <c r="Y32" s="9">
        <v>6.49986</v>
      </c>
      <c r="Z32" s="10" cm="1">
        <f t="array" ref="Z32">Lagrange_unified($AC$16:$AF$16,$AC$17:$AF$17,Y32)</f>
        <v>4.652971191278632</v>
      </c>
      <c r="AM32" s="9">
        <v>-1.00000000000655E-5</v>
      </c>
      <c r="AN32" s="10">
        <f t="shared" si="17"/>
        <v>-0.99998118294761795</v>
      </c>
    </row>
    <row r="33" spans="2:40" ht="15.75" x14ac:dyDescent="0.25">
      <c r="B33" s="2">
        <v>10.499779999999999</v>
      </c>
      <c r="C33" s="2">
        <f t="shared" si="1"/>
        <v>10.137006734637673</v>
      </c>
      <c r="E33" s="9">
        <v>0.49997999999999998</v>
      </c>
      <c r="F33" s="13" t="s">
        <v>27</v>
      </c>
      <c r="G33" s="9">
        <f>$F$11+((E33-$E$11)*($F$12-$F$11))/($E$12-$E$11)</f>
        <v>-0.76144891506526324</v>
      </c>
      <c r="I33" s="2" t="s">
        <v>13</v>
      </c>
      <c r="J33" s="2">
        <f t="array" ref="J33:J40">MMULT(I24:P31,Q14:Q21)</f>
        <v>-0.99999999999961486</v>
      </c>
      <c r="V33" s="9">
        <v>6.9998500000000003</v>
      </c>
      <c r="W33" s="10" cm="1">
        <f t="array" ref="W33">Lagrange_unified($W$11:$AD$11,$W$12:$AD$12,V33)</f>
        <v>5.3885091444199107</v>
      </c>
      <c r="Y33" s="9">
        <v>6.9998500000000003</v>
      </c>
      <c r="Z33" s="10" cm="1">
        <f t="array" ref="Z33">Lagrange_unified($AC$16:$AF$16,$AC$17:$AF$17,Y33)</f>
        <v>5.2954939415416273</v>
      </c>
      <c r="AM33" s="9">
        <v>0.49997999999999998</v>
      </c>
      <c r="AN33" s="10">
        <f t="shared" si="17"/>
        <v>-1.4010606782552366</v>
      </c>
    </row>
    <row r="34" spans="2:40" ht="15.75" x14ac:dyDescent="0.25">
      <c r="E34" s="9">
        <v>0.99997000000000003</v>
      </c>
      <c r="F34" s="13" t="s">
        <v>27</v>
      </c>
      <c r="G34" s="9">
        <f t="shared" ref="G34:G36" si="18">$F$11+((E34-$E$11)*($F$12-$F$11))/($E$12-$E$11)</f>
        <v>-0.52289305891797921</v>
      </c>
      <c r="I34" s="2" t="s">
        <v>14</v>
      </c>
      <c r="J34" s="2">
        <v>-1.8821174857855596</v>
      </c>
      <c r="V34" s="9">
        <v>7.4998399999999998</v>
      </c>
      <c r="W34" s="10" cm="1">
        <f t="array" ref="W34">Lagrange_unified($W$11:$AD$11,$W$12:$AD$12,V34)</f>
        <v>6.0223482856767214</v>
      </c>
      <c r="Y34" s="9">
        <v>7.4998399999999998</v>
      </c>
      <c r="Z34" s="10" cm="1">
        <f t="array" ref="Z34">Lagrange_unified($AC$16:$AF$16,$AC$17:$AF$17,Y34)</f>
        <v>5.9564859231374587</v>
      </c>
      <c r="AM34" s="9">
        <v>0.99997000000000003</v>
      </c>
      <c r="AN34" s="10">
        <f t="shared" si="17"/>
        <v>-1.1319164263961328</v>
      </c>
    </row>
    <row r="35" spans="2:40" ht="15.75" x14ac:dyDescent="0.25">
      <c r="E35" s="9">
        <v>1.49996</v>
      </c>
      <c r="F35" s="13" t="s">
        <v>27</v>
      </c>
      <c r="G35" s="9">
        <f t="shared" si="18"/>
        <v>-0.28433720277069519</v>
      </c>
      <c r="I35" s="2" t="s">
        <v>15</v>
      </c>
      <c r="J35" s="2">
        <v>2.6756159279056564</v>
      </c>
      <c r="V35" s="9">
        <v>7.9998300000000002</v>
      </c>
      <c r="W35" s="10" cm="1">
        <f t="array" ref="W35">Lagrange_unified($W$11:$AD$11,$W$12:$AD$12,V35)</f>
        <v>6.6337344904121194</v>
      </c>
      <c r="Y35" s="9">
        <v>7.9998300000000002</v>
      </c>
      <c r="Z35" s="10" cm="1">
        <f t="array" ref="Z35">Lagrange_unified($AC$16:$AF$16,$AC$17:$AF$17,Y35)</f>
        <v>6.6337073096274395</v>
      </c>
      <c r="AM35" s="9">
        <v>1.49996</v>
      </c>
      <c r="AN35" s="10">
        <f t="shared" si="17"/>
        <v>-0.60796757942472202</v>
      </c>
    </row>
    <row r="36" spans="2:40" ht="15.75" x14ac:dyDescent="0.25">
      <c r="E36" s="9">
        <v>1.9999499999999999</v>
      </c>
      <c r="F36" s="13" t="s">
        <v>27</v>
      </c>
      <c r="G36" s="9">
        <f t="shared" si="18"/>
        <v>-4.5781346623411157E-2</v>
      </c>
      <c r="I36" s="2" t="s">
        <v>16</v>
      </c>
      <c r="J36" s="2">
        <v>-1.1535884280257027</v>
      </c>
      <c r="V36" s="9">
        <v>8.4998199999999997</v>
      </c>
      <c r="W36" s="10" cm="1">
        <f t="array" ref="W36">Lagrange_unified($W$11:$AD$11,$W$12:$AD$12,V36)</f>
        <v>7.2408427763588143</v>
      </c>
      <c r="Y36" s="9">
        <v>8.4998199999999997</v>
      </c>
      <c r="Z36" s="10" cm="1">
        <f t="array" ref="Z36">Lagrange_unified($AC$16:$AF$16,$AC$17:$AF$17,Y36)</f>
        <v>7.3249182745728794</v>
      </c>
      <c r="AM36" s="9">
        <v>1.9999499999999999</v>
      </c>
      <c r="AN36" s="10">
        <f t="shared" si="17"/>
        <v>-4.5811946966708823E-2</v>
      </c>
    </row>
    <row r="37" spans="2:40" ht="15.75" x14ac:dyDescent="0.25">
      <c r="E37" s="9">
        <v>2.4999400000000001</v>
      </c>
      <c r="F37" s="13" t="s">
        <v>28</v>
      </c>
      <c r="G37" s="9">
        <f>$F$12+((E37-$E$12)*($F$13-$F$12))/($E$13-$E$12)</f>
        <v>0.41459663729027546</v>
      </c>
      <c r="I37" s="2" t="s">
        <v>17</v>
      </c>
      <c r="J37" s="2">
        <v>0.25651714146001109</v>
      </c>
      <c r="L37" s="9" t="s">
        <v>9</v>
      </c>
      <c r="M37" s="9" t="s">
        <v>29</v>
      </c>
      <c r="V37" s="9">
        <v>8.9998100000000001</v>
      </c>
      <c r="W37" s="10" cm="1">
        <f t="array" ref="W37">Lagrange_unified($W$11:$AD$11,$W$12:$AD$12,V37)</f>
        <v>7.8787874212338824</v>
      </c>
      <c r="Y37" s="9">
        <v>8.9998100000000001</v>
      </c>
      <c r="Z37" s="10" cm="1">
        <f t="array" ref="Z37">Lagrange_unified($AC$16:$AF$16,$AC$17:$AF$17,Y37)</f>
        <v>8.0278789915350899</v>
      </c>
      <c r="AM37" s="9">
        <v>2.4999400000000001</v>
      </c>
      <c r="AN37" s="10">
        <f t="shared" si="17"/>
        <v>0.468361241709708</v>
      </c>
    </row>
    <row r="38" spans="2:40" ht="15.75" x14ac:dyDescent="0.25">
      <c r="E38" s="9">
        <v>2.99993</v>
      </c>
      <c r="F38" s="13" t="s">
        <v>28</v>
      </c>
      <c r="G38" s="9">
        <f t="shared" ref="G38:G40" si="19">$F$12+((E38-$E$12)*($F$13-$F$12))/($E$13-$E$12)</f>
        <v>0.87499680607892349</v>
      </c>
      <c r="I38" s="2" t="s">
        <v>18</v>
      </c>
      <c r="J38" s="2">
        <v>-3.0312208573769567E-2</v>
      </c>
      <c r="L38" s="11">
        <v>-0.99999000000000005</v>
      </c>
      <c r="M38" s="9">
        <f>$J$33+$J$34*L38+$J$35*L38^2+$J$36*L38^3+$J$37*L38^4+$J$38*L38^5+$J$39*L38^6+$J$40*L38^7</f>
        <v>4.9998870545414293</v>
      </c>
      <c r="V38" s="9">
        <v>9.4998000000000005</v>
      </c>
      <c r="W38" s="10" cm="1">
        <f t="array" ref="W38">Lagrange_unified($W$11:$AD$11,$W$12:$AD$12,V38)</f>
        <v>8.5912287420773215</v>
      </c>
      <c r="Y38" s="9">
        <v>9.4998000000000005</v>
      </c>
      <c r="Z38" s="10" cm="1">
        <f t="array" ref="Z38">Lagrange_unified($AC$16:$AF$16,$AC$17:$AF$17,Y38)</f>
        <v>8.7403496340753808</v>
      </c>
      <c r="AM38" s="9">
        <v>2.99993</v>
      </c>
      <c r="AN38" s="10">
        <f t="shared" si="17"/>
        <v>0.92567346354278857</v>
      </c>
    </row>
    <row r="39" spans="2:40" ht="15.75" x14ac:dyDescent="0.25">
      <c r="E39" s="9">
        <v>3.4999199999999999</v>
      </c>
      <c r="F39" s="13" t="s">
        <v>28</v>
      </c>
      <c r="G39" s="9">
        <f t="shared" si="19"/>
        <v>1.3353969748675718</v>
      </c>
      <c r="I39" s="2" t="s">
        <v>19</v>
      </c>
      <c r="J39" s="2">
        <v>1.8116566198257591E-3</v>
      </c>
      <c r="L39" s="9">
        <v>-0.5</v>
      </c>
      <c r="M39" s="9">
        <f t="shared" ref="M39:M61" si="20">$J$33+$J$34*L39+$J$35*L39^2+$J$36*L39^3+$J$37*L39^4+$J$38*L39^5+$J$39*L39^6+$J$40*L39^7</f>
        <v>0.77116949957387648</v>
      </c>
      <c r="V39" s="9">
        <v>9.9997900000000008</v>
      </c>
      <c r="W39" s="10" cm="1">
        <f t="array" ref="W39">Lagrange_unified($W$11:$AD$11,$W$12:$AD$12,V39)</f>
        <v>9.4135563979564871</v>
      </c>
      <c r="Y39" s="9">
        <v>9.9997900000000008</v>
      </c>
      <c r="Z39" s="10" cm="1">
        <f t="array" ref="Z39">Lagrange_unified($AC$16:$AF$16,$AC$17:$AF$17,Y39)</f>
        <v>9.4600903757550618</v>
      </c>
      <c r="AM39" s="9">
        <v>3.4999199999999999</v>
      </c>
      <c r="AN39" s="10">
        <f t="shared" si="17"/>
        <v>1.3550771795858791</v>
      </c>
    </row>
    <row r="40" spans="2:40" ht="15.75" x14ac:dyDescent="0.25">
      <c r="E40" s="9">
        <v>3.9999099999999999</v>
      </c>
      <c r="F40" s="13" t="s">
        <v>28</v>
      </c>
      <c r="G40" s="9">
        <f t="shared" si="19"/>
        <v>1.7957971436562197</v>
      </c>
      <c r="I40" s="2" t="s">
        <v>20</v>
      </c>
      <c r="J40" s="2">
        <v>-4.3034524010433577E-5</v>
      </c>
      <c r="L40" s="9">
        <v>-1.00000000000655E-5</v>
      </c>
      <c r="M40" s="9">
        <f t="shared" si="20"/>
        <v>-0.99998117855719415</v>
      </c>
      <c r="V40" s="9">
        <v>10.499779999999999</v>
      </c>
      <c r="W40" s="10" cm="1">
        <f t="array" ref="W40">Lagrange_unified($W$11:$AD$11,$W$12:$AD$12,V40)</f>
        <v>10.345954968867092</v>
      </c>
      <c r="Y40" s="9">
        <v>10.499779999999999</v>
      </c>
      <c r="Z40" s="10" cm="1">
        <f t="array" ref="Z40">Lagrange_unified($AC$16:$AF$16,$AC$17:$AF$17,Y40)</f>
        <v>10.184861390135442</v>
      </c>
      <c r="AM40" s="9">
        <v>3.9999099999999999</v>
      </c>
      <c r="AN40" s="10">
        <f t="shared" si="17"/>
        <v>1.7957975291152992</v>
      </c>
    </row>
    <row r="41" spans="2:40" ht="15.75" x14ac:dyDescent="0.25">
      <c r="E41" s="9">
        <v>4.4999000000000002</v>
      </c>
      <c r="F41" s="13" t="s">
        <v>30</v>
      </c>
      <c r="G41" s="9">
        <f>$F$13+((E41-$E$13)*($F$14-$F$13))/($E$14-$E$13)</f>
        <v>2.3644433376183049</v>
      </c>
      <c r="L41" s="9">
        <v>0.49997999999999998</v>
      </c>
      <c r="M41" s="9">
        <f t="shared" si="20"/>
        <v>-1.401241226712993</v>
      </c>
      <c r="AM41" s="9">
        <v>4.4999000000000002</v>
      </c>
      <c r="AN41" s="10">
        <f t="shared" si="17"/>
        <v>2.2799987040770602</v>
      </c>
    </row>
    <row r="42" spans="2:40" ht="15.75" x14ac:dyDescent="0.25">
      <c r="E42" s="9">
        <v>4.9998899999999997</v>
      </c>
      <c r="F42" s="13" t="s">
        <v>30</v>
      </c>
      <c r="G42" s="9">
        <f t="shared" ref="G42:G44" si="21">$F$13+((E42-$E$13)*($F$14-$F$13))/($E$14-$E$13)</f>
        <v>2.9331090197625569</v>
      </c>
      <c r="L42" s="9">
        <v>0.99997000000000003</v>
      </c>
      <c r="M42" s="9">
        <f t="shared" si="20"/>
        <v>-1.1321432332529702</v>
      </c>
      <c r="AM42" s="9">
        <v>4.9998899999999997</v>
      </c>
      <c r="AN42" s="10">
        <f t="shared" si="17"/>
        <v>2.8239782680118695</v>
      </c>
    </row>
    <row r="43" spans="2:40" ht="15.75" x14ac:dyDescent="0.25">
      <c r="E43" s="9">
        <v>5.4998800000000001</v>
      </c>
      <c r="F43" s="13" t="s">
        <v>30</v>
      </c>
      <c r="G43" s="9">
        <f t="shared" si="21"/>
        <v>3.5017747019068102</v>
      </c>
      <c r="L43" s="9">
        <v>1.49996</v>
      </c>
      <c r="M43" s="9">
        <f t="shared" si="20"/>
        <v>-0.60811133757941827</v>
      </c>
      <c r="AM43" s="9">
        <v>5.4998800000000001</v>
      </c>
      <c r="AN43" s="10">
        <f t="shared" si="17"/>
        <v>3.4261926835981846</v>
      </c>
    </row>
    <row r="44" spans="2:40" ht="15.75" x14ac:dyDescent="0.25">
      <c r="E44" s="9">
        <v>5.9998699999999996</v>
      </c>
      <c r="F44" s="13" t="s">
        <v>30</v>
      </c>
      <c r="G44" s="9">
        <f t="shared" si="21"/>
        <v>4.0704403840510626</v>
      </c>
      <c r="L44" s="9">
        <v>1.9999499999999999</v>
      </c>
      <c r="M44" s="9">
        <f t="shared" si="20"/>
        <v>-4.5811961606892895E-2</v>
      </c>
      <c r="AM44" s="9">
        <v>5.9998699999999996</v>
      </c>
      <c r="AN44" s="10">
        <f t="shared" si="17"/>
        <v>4.0704173129526149</v>
      </c>
    </row>
    <row r="45" spans="2:40" ht="15.75" x14ac:dyDescent="0.25">
      <c r="E45" s="9">
        <v>6.49986</v>
      </c>
      <c r="F45" s="13" t="s">
        <v>31</v>
      </c>
      <c r="G45" s="9">
        <f>$F$14+((E45-$E$14)*($F$15-$F$14))/($E$15-$E$14)</f>
        <v>4.7112467643143248</v>
      </c>
      <c r="L45" s="9">
        <v>2.4999400000000001</v>
      </c>
      <c r="M45" s="9">
        <f t="shared" si="20"/>
        <v>0.46848568967419835</v>
      </c>
      <c r="AM45" s="9">
        <v>6.49986</v>
      </c>
      <c r="AN45" s="10">
        <f t="shared" si="17"/>
        <v>4.7323441548273051</v>
      </c>
    </row>
    <row r="46" spans="2:40" ht="15.75" x14ac:dyDescent="0.25">
      <c r="E46" s="9">
        <v>6.9998500000000003</v>
      </c>
      <c r="F46" s="13" t="s">
        <v>31</v>
      </c>
      <c r="G46" s="9">
        <f t="shared" ref="G46:G48" si="22">$F$14+((E46-$E$14)*($F$15-$F$14))/($E$15-$E$14)</f>
        <v>5.3520719064124131</v>
      </c>
      <c r="L46" s="9">
        <v>2.99993</v>
      </c>
      <c r="M46" s="9">
        <f t="shared" si="20"/>
        <v>0.92584511137054171</v>
      </c>
      <c r="AM46" s="9">
        <v>6.9998500000000003</v>
      </c>
      <c r="AN46" s="10">
        <f t="shared" si="17"/>
        <v>5.3879205828442505</v>
      </c>
    </row>
    <row r="47" spans="2:40" ht="15.75" x14ac:dyDescent="0.25">
      <c r="E47" s="9">
        <v>7.4998399999999998</v>
      </c>
      <c r="F47" s="13" t="s">
        <v>31</v>
      </c>
      <c r="G47" s="9">
        <f t="shared" si="22"/>
        <v>5.9928970485104998</v>
      </c>
      <c r="L47" s="9">
        <v>3.4999199999999999</v>
      </c>
      <c r="M47" s="9">
        <f t="shared" si="20"/>
        <v>1.3551997184260509</v>
      </c>
      <c r="AM47" s="9">
        <v>7.4998399999999998</v>
      </c>
      <c r="AN47" s="10">
        <f t="shared" si="17"/>
        <v>6.0217323489052115</v>
      </c>
    </row>
    <row r="48" spans="2:40" ht="15.75" x14ac:dyDescent="0.25">
      <c r="E48" s="9">
        <v>7.9998300000000002</v>
      </c>
      <c r="F48" s="13" t="s">
        <v>31</v>
      </c>
      <c r="G48" s="9">
        <f t="shared" si="22"/>
        <v>6.6337221906085873</v>
      </c>
      <c r="L48" s="9">
        <v>3.9999099999999999</v>
      </c>
      <c r="M48" s="9">
        <f t="shared" si="20"/>
        <v>1.7957975547598393</v>
      </c>
      <c r="AM48" s="9">
        <v>7.9998300000000002</v>
      </c>
      <c r="AN48" s="10">
        <f t="shared" si="17"/>
        <v>6.63373411591781</v>
      </c>
    </row>
    <row r="49" spans="5:40" ht="15.75" x14ac:dyDescent="0.25">
      <c r="E49" s="9">
        <v>8.4998199999999997</v>
      </c>
      <c r="F49" s="13" t="s">
        <v>32</v>
      </c>
      <c r="G49" s="9">
        <f>$F$15+((E49-$E$15)*($F$16-$F$15))/($E$16-$E$15)</f>
        <v>7.3286865707216657</v>
      </c>
      <c r="L49" s="9">
        <v>4.4999000000000002</v>
      </c>
      <c r="M49" s="9">
        <f t="shared" si="20"/>
        <v>2.2798592446327204</v>
      </c>
      <c r="AM49" s="9">
        <v>8.4998199999999997</v>
      </c>
      <c r="AN49" s="10">
        <f t="shared" si="17"/>
        <v>7.242630783976522</v>
      </c>
    </row>
    <row r="50" spans="5:40" ht="15.75" x14ac:dyDescent="0.25">
      <c r="E50" s="9">
        <v>8.9998100000000001</v>
      </c>
      <c r="F50" s="13" t="s">
        <v>32</v>
      </c>
      <c r="G50" s="9">
        <f t="shared" ref="G50:G52" si="23">$F$15+((E50-$E$15)*($F$16-$F$15))/($E$16-$E$15)</f>
        <v>8.0236693648046984</v>
      </c>
      <c r="L50" s="9">
        <v>4.9998899999999997</v>
      </c>
      <c r="M50" s="9">
        <f t="shared" si="20"/>
        <v>2.8237549390728645</v>
      </c>
      <c r="AM50" s="9">
        <v>8.9998100000000001</v>
      </c>
      <c r="AN50" s="10">
        <f t="shared" si="17"/>
        <v>7.8842128741387647</v>
      </c>
    </row>
    <row r="51" spans="5:40" ht="15.75" x14ac:dyDescent="0.25">
      <c r="E51" s="9">
        <v>9.4998000000000005</v>
      </c>
      <c r="F51" s="13" t="s">
        <v>32</v>
      </c>
      <c r="G51" s="9">
        <f t="shared" si="23"/>
        <v>8.7186521588877319</v>
      </c>
      <c r="L51" s="9">
        <v>5.4998800000000001</v>
      </c>
      <c r="M51" s="9">
        <f t="shared" si="20"/>
        <v>3.426006010191526</v>
      </c>
      <c r="AM51" s="9">
        <v>9.4998000000000005</v>
      </c>
      <c r="AN51" s="10">
        <f t="shared" si="17"/>
        <v>8.6029492339351297</v>
      </c>
    </row>
    <row r="52" spans="5:40" ht="15.75" x14ac:dyDescent="0.25">
      <c r="E52" s="9">
        <v>9.9997900000000008</v>
      </c>
      <c r="F52" s="13" t="s">
        <v>32</v>
      </c>
      <c r="G52" s="9">
        <f t="shared" si="23"/>
        <v>9.4136349529707655</v>
      </c>
      <c r="L52" s="9">
        <v>5.9998699999999996</v>
      </c>
      <c r="M52" s="9">
        <f t="shared" si="20"/>
        <v>4.0704172462189074</v>
      </c>
      <c r="AM52" s="9">
        <v>9.9997900000000008</v>
      </c>
      <c r="AN52" s="10">
        <f t="shared" si="17"/>
        <v>9.43514032875356</v>
      </c>
    </row>
    <row r="53" spans="5:40" ht="15.75" x14ac:dyDescent="0.25">
      <c r="E53" s="9">
        <v>10.499779999999999</v>
      </c>
      <c r="F53" s="13" t="s">
        <v>33</v>
      </c>
      <c r="G53" s="9">
        <f>$F$16+((E53-$E$16)*($F$17-$F$16))/($E$17-$E$16)</f>
        <v>10.151950322335827</v>
      </c>
      <c r="L53" s="9">
        <v>6.49986</v>
      </c>
      <c r="M53" s="9">
        <f t="shared" si="20"/>
        <v>4.7326453000916011</v>
      </c>
      <c r="AM53" s="9">
        <v>10.499779999999999</v>
      </c>
      <c r="AN53" s="10">
        <f t="shared" si="17"/>
        <v>10.381935383237195</v>
      </c>
    </row>
    <row r="54" spans="5:40" ht="15.75" x14ac:dyDescent="0.25">
      <c r="L54" s="9">
        <v>6.9998500000000003</v>
      </c>
      <c r="M54" s="9">
        <f t="shared" si="20"/>
        <v>5.3885091444219739</v>
      </c>
    </row>
    <row r="55" spans="5:40" ht="15.75" x14ac:dyDescent="0.25">
      <c r="L55" s="9">
        <v>7.4998399999999998</v>
      </c>
      <c r="M55" s="9">
        <f t="shared" si="20"/>
        <v>6.022348285679044</v>
      </c>
    </row>
    <row r="56" spans="5:40" ht="15.75" x14ac:dyDescent="0.25">
      <c r="L56" s="9">
        <v>7.9998300000000002</v>
      </c>
      <c r="M56" s="9">
        <f t="shared" si="20"/>
        <v>6.6337344904148381</v>
      </c>
    </row>
    <row r="57" spans="5:40" ht="15.75" x14ac:dyDescent="0.25">
      <c r="L57" s="9">
        <v>8.4998199999999997</v>
      </c>
      <c r="M57" s="9">
        <f t="shared" si="20"/>
        <v>7.2408427763617453</v>
      </c>
    </row>
    <row r="58" spans="5:40" ht="15.75" x14ac:dyDescent="0.25">
      <c r="L58" s="9">
        <v>8.9998100000000001</v>
      </c>
      <c r="M58" s="9">
        <f t="shared" si="20"/>
        <v>7.8787874212369786</v>
      </c>
    </row>
    <row r="59" spans="5:40" ht="15.75" x14ac:dyDescent="0.25">
      <c r="L59" s="9">
        <v>9.4998000000000005</v>
      </c>
      <c r="M59" s="9">
        <f t="shared" si="20"/>
        <v>8.5912287420805455</v>
      </c>
    </row>
    <row r="60" spans="5:40" ht="15.75" x14ac:dyDescent="0.25">
      <c r="L60" s="9">
        <v>9.9997900000000008</v>
      </c>
      <c r="M60" s="9">
        <f t="shared" si="20"/>
        <v>9.4135563979597805</v>
      </c>
    </row>
    <row r="61" spans="5:40" ht="15.75" x14ac:dyDescent="0.25">
      <c r="L61" s="9">
        <v>10.499779999999999</v>
      </c>
      <c r="M61" s="9">
        <f t="shared" si="20"/>
        <v>10.345954968869478</v>
      </c>
    </row>
  </sheetData>
  <mergeCells count="7">
    <mergeCell ref="B3:C3"/>
    <mergeCell ref="B7:C7"/>
    <mergeCell ref="J23:N23"/>
    <mergeCell ref="AJ2:AQ2"/>
    <mergeCell ref="D2:G2"/>
    <mergeCell ref="J2:M2"/>
    <mergeCell ref="V2:AB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Косован</dc:creator>
  <cp:lastModifiedBy>Михаил Косован</cp:lastModifiedBy>
  <dcterms:created xsi:type="dcterms:W3CDTF">2020-10-14T06:44:44Z</dcterms:created>
  <dcterms:modified xsi:type="dcterms:W3CDTF">2020-10-14T09:09:09Z</dcterms:modified>
</cp:coreProperties>
</file>