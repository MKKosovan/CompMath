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ha\Desktop\GUU\4course1\ЧМ\"/>
    </mc:Choice>
  </mc:AlternateContent>
  <xr:revisionPtr revIDLastSave="0" documentId="13_ncr:1_{4F775087-E49C-4EDD-AF75-461FCAEA15C2}" xr6:coauthVersionLast="45" xr6:coauthVersionMax="45" xr10:uidLastSave="{00000000-0000-0000-0000-000000000000}"/>
  <bookViews>
    <workbookView xWindow="-120" yWindow="-120" windowWidth="29040" windowHeight="15840" xr2:uid="{F370D0FC-CA17-4A8C-A913-0765906CD97C}"/>
  </bookViews>
  <sheets>
    <sheet name="Лист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7" i="1" l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26" i="1"/>
  <c r="P39" i="1" a="1"/>
  <c r="P39" i="1" s="1"/>
  <c r="Y30" i="1" a="1"/>
  <c r="Y30" i="1" s="1"/>
  <c r="Y31" i="1" a="1"/>
  <c r="Y31" i="1" s="1"/>
  <c r="Y32" i="1" a="1"/>
  <c r="Y32" i="1" s="1"/>
  <c r="Y33" i="1" a="1"/>
  <c r="Y33" i="1" s="1"/>
  <c r="Y34" i="1" a="1"/>
  <c r="Y34" i="1" s="1"/>
  <c r="Y35" i="1" a="1"/>
  <c r="Y35" i="1" s="1"/>
  <c r="Y36" i="1" a="1"/>
  <c r="Y36" i="1" s="1"/>
  <c r="Y29" i="1" a="1"/>
  <c r="Y29" i="1" s="1"/>
  <c r="P29" i="1" a="1"/>
  <c r="P29" i="1" s="1"/>
  <c r="P19" i="1" a="1"/>
  <c r="P19" i="1" s="1"/>
  <c r="Q19" i="1" a="1"/>
  <c r="Q19" i="1" s="1"/>
  <c r="R19" i="1" a="1"/>
  <c r="R19" i="1" s="1"/>
  <c r="S19" i="1" a="1"/>
  <c r="S19" i="1"/>
  <c r="T19" i="1" a="1"/>
  <c r="T19" i="1" s="1"/>
  <c r="U19" i="1" a="1"/>
  <c r="U19" i="1" s="1"/>
  <c r="V19" i="1" a="1"/>
  <c r="V19" i="1" s="1"/>
  <c r="W19" i="1" a="1"/>
  <c r="W19" i="1" s="1"/>
  <c r="P20" i="1" a="1"/>
  <c r="P20" i="1" s="1"/>
  <c r="Q20" i="1" a="1"/>
  <c r="Q20" i="1"/>
  <c r="R20" i="1" a="1"/>
  <c r="R20" i="1" s="1"/>
  <c r="S20" i="1" a="1"/>
  <c r="S20" i="1" s="1"/>
  <c r="T20" i="1" a="1"/>
  <c r="T20" i="1" s="1"/>
  <c r="U20" i="1" a="1"/>
  <c r="U20" i="1" s="1"/>
  <c r="V20" i="1" a="1"/>
  <c r="V20" i="1" s="1"/>
  <c r="W20" i="1" a="1"/>
  <c r="W20" i="1"/>
  <c r="P21" i="1" a="1"/>
  <c r="P21" i="1" s="1"/>
  <c r="Q21" i="1" a="1"/>
  <c r="Q21" i="1" s="1"/>
  <c r="R21" i="1" a="1"/>
  <c r="R21" i="1" s="1"/>
  <c r="S21" i="1" a="1"/>
  <c r="S21" i="1" s="1"/>
  <c r="T21" i="1" a="1"/>
  <c r="T21" i="1" s="1"/>
  <c r="U21" i="1" a="1"/>
  <c r="U21" i="1"/>
  <c r="V21" i="1" a="1"/>
  <c r="V21" i="1" s="1"/>
  <c r="W21" i="1" a="1"/>
  <c r="W21" i="1" s="1"/>
  <c r="P22" i="1" a="1"/>
  <c r="P22" i="1" s="1"/>
  <c r="Q22" i="1" a="1"/>
  <c r="Q22" i="1" s="1"/>
  <c r="R22" i="1" a="1"/>
  <c r="R22" i="1" s="1"/>
  <c r="S22" i="1" a="1"/>
  <c r="S22" i="1"/>
  <c r="T22" i="1" a="1"/>
  <c r="T22" i="1" s="1"/>
  <c r="U22" i="1" a="1"/>
  <c r="U22" i="1" s="1"/>
  <c r="V22" i="1" a="1"/>
  <c r="V22" i="1" s="1"/>
  <c r="W22" i="1" a="1"/>
  <c r="W22" i="1" s="1"/>
  <c r="P23" i="1" a="1"/>
  <c r="P23" i="1" s="1"/>
  <c r="Q23" i="1" a="1"/>
  <c r="Q23" i="1"/>
  <c r="R23" i="1" a="1"/>
  <c r="R23" i="1" s="1"/>
  <c r="S23" i="1" a="1"/>
  <c r="S23" i="1" s="1"/>
  <c r="T23" i="1" a="1"/>
  <c r="T23" i="1" s="1"/>
  <c r="U23" i="1" a="1"/>
  <c r="U23" i="1" s="1"/>
  <c r="V23" i="1" a="1"/>
  <c r="V23" i="1" s="1"/>
  <c r="W23" i="1" a="1"/>
  <c r="W23" i="1"/>
  <c r="P24" i="1" a="1"/>
  <c r="P24" i="1" s="1"/>
  <c r="Q24" i="1" a="1"/>
  <c r="Q24" i="1" s="1"/>
  <c r="R24" i="1" a="1"/>
  <c r="R24" i="1" s="1"/>
  <c r="S24" i="1" a="1"/>
  <c r="S24" i="1" s="1"/>
  <c r="T24" i="1" a="1"/>
  <c r="T24" i="1" s="1"/>
  <c r="U24" i="1" a="1"/>
  <c r="U24" i="1"/>
  <c r="V24" i="1" a="1"/>
  <c r="V24" i="1" s="1"/>
  <c r="W24" i="1" a="1"/>
  <c r="W24" i="1" s="1"/>
  <c r="P25" i="1" a="1"/>
  <c r="P25" i="1" s="1"/>
  <c r="Q25" i="1" a="1"/>
  <c r="Q25" i="1" s="1"/>
  <c r="R25" i="1" a="1"/>
  <c r="R25" i="1" s="1"/>
  <c r="S25" i="1" a="1"/>
  <c r="S25" i="1" s="1"/>
  <c r="T25" i="1" a="1"/>
  <c r="T25" i="1" s="1"/>
  <c r="U25" i="1" a="1"/>
  <c r="U25" i="1" s="1"/>
  <c r="V25" i="1" a="1"/>
  <c r="V25" i="1" s="1"/>
  <c r="W25" i="1" a="1"/>
  <c r="W25" i="1" s="1"/>
  <c r="Q18" i="1" a="1"/>
  <c r="Q18" i="1" s="1"/>
  <c r="R18" i="1" a="1"/>
  <c r="R18" i="1" s="1"/>
  <c r="S18" i="1" a="1"/>
  <c r="S18" i="1" s="1"/>
  <c r="T18" i="1" a="1"/>
  <c r="T18" i="1" s="1"/>
  <c r="U18" i="1" a="1"/>
  <c r="U18" i="1" s="1"/>
  <c r="V18" i="1" a="1"/>
  <c r="V18" i="1" s="1"/>
  <c r="W18" i="1" a="1"/>
  <c r="W18" i="1" s="1"/>
  <c r="P18" i="1" a="1"/>
  <c r="P18" i="1" s="1"/>
  <c r="P44" i="1" l="1"/>
  <c r="P43" i="1"/>
  <c r="P42" i="1"/>
  <c r="P45" i="1"/>
  <c r="P41" i="1"/>
  <c r="P40" i="1"/>
  <c r="P46" i="1"/>
  <c r="V31" i="1"/>
  <c r="Q36" i="1"/>
  <c r="W35" i="1"/>
  <c r="W34" i="1"/>
  <c r="V29" i="1"/>
  <c r="W31" i="1"/>
  <c r="V34" i="1"/>
  <c r="Q33" i="1"/>
  <c r="T34" i="1"/>
  <c r="W29" i="1"/>
  <c r="R31" i="1"/>
  <c r="U35" i="1"/>
  <c r="Q34" i="1"/>
  <c r="U32" i="1"/>
  <c r="Q31" i="1"/>
  <c r="U29" i="1"/>
  <c r="S30" i="1"/>
  <c r="S34" i="1"/>
  <c r="T35" i="1"/>
  <c r="P34" i="1"/>
  <c r="T32" i="1"/>
  <c r="P31" i="1"/>
  <c r="T29" i="1"/>
  <c r="R30" i="1"/>
  <c r="T31" i="1"/>
  <c r="W32" i="1"/>
  <c r="R34" i="1"/>
  <c r="W36" i="1"/>
  <c r="S35" i="1"/>
  <c r="W33" i="1"/>
  <c r="S32" i="1"/>
  <c r="W30" i="1"/>
  <c r="S29" i="1"/>
  <c r="S33" i="1"/>
  <c r="Q30" i="1"/>
  <c r="P30" i="1"/>
  <c r="V32" i="1"/>
  <c r="V36" i="1"/>
  <c r="R35" i="1"/>
  <c r="V33" i="1"/>
  <c r="R32" i="1"/>
  <c r="V30" i="1"/>
  <c r="R29" i="1"/>
  <c r="R33" i="1"/>
  <c r="U34" i="1"/>
  <c r="P33" i="1"/>
  <c r="V35" i="1"/>
  <c r="U36" i="1"/>
  <c r="Q35" i="1"/>
  <c r="U33" i="1"/>
  <c r="Q32" i="1"/>
  <c r="U30" i="1"/>
  <c r="Q29" i="1"/>
  <c r="S36" i="1"/>
  <c r="R36" i="1"/>
  <c r="U31" i="1"/>
  <c r="P36" i="1"/>
  <c r="S31" i="1"/>
  <c r="T36" i="1"/>
  <c r="P35" i="1"/>
  <c r="T33" i="1"/>
  <c r="P32" i="1"/>
  <c r="T3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<sst xmlns="http://schemas.openxmlformats.org/spreadsheetml/2006/main" count="19" uniqueCount="17">
  <si>
    <t>Аппроксимация</t>
  </si>
  <si>
    <t>Условие</t>
  </si>
  <si>
    <t>Уравнение</t>
  </si>
  <si>
    <t>x*lg(x+1)=1</t>
  </si>
  <si>
    <t>Погрешность</t>
  </si>
  <si>
    <t>10^(-3)</t>
  </si>
  <si>
    <t>ОДЗ</t>
  </si>
  <si>
    <t>(-1;+inf)</t>
  </si>
  <si>
    <t>x</t>
  </si>
  <si>
    <t>y=x*lg(x+1)-1</t>
  </si>
  <si>
    <t>f(x)</t>
  </si>
  <si>
    <t>Узлы аппроксимации</t>
  </si>
  <si>
    <t>Матрица С</t>
  </si>
  <si>
    <t>Матрица С^(-1)</t>
  </si>
  <si>
    <t>b</t>
  </si>
  <si>
    <t>a_i</t>
  </si>
  <si>
    <t>y=f(x)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</si>
</sst>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3" xfId="0" applyFont="1" applyBorder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0" fontId="1" fillId="0" borderId="0" xfId="0" applyFont="1" applyAlignment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15" xfId="0" applyFont="1" applyBorder="1"/>
    <xf numFmtId="0" fontId="1" fillId="0" borderId="16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y=x*lg(x+1)-1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2173712199018601"/>
          <c:y val="2.9931972789115645E-2"/>
          <c:w val="0.84100477005591678"/>
          <c:h val="0.87882993197278914"/>
        </c:manualLayout>
      </c:layout>
      <c:lineChart>
        <c:grouping val="standard"/>
        <c:varyColors val="0"/>
        <c:ser>
          <c:idx val="0"/>
          <c:order val="0"/>
          <c:tx>
            <c:strRef>
              <c:f>Лист1!$C$11</c:f>
              <c:strCache>
                <c:ptCount val="1"/>
                <c:pt idx="0">
                  <c:v>y=x*lg(x+1)-1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Лист1!$B$12:$B$35</c:f>
              <c:numCache>
                <c:formatCode>General</c:formatCode>
                <c:ptCount val="24"/>
                <c:pt idx="0">
                  <c:v>-0.99999000000000005</c:v>
                </c:pt>
                <c:pt idx="1">
                  <c:v>-0.5</c:v>
                </c:pt>
                <c:pt idx="2">
                  <c:v>-1.00000000000655E-5</c:v>
                </c:pt>
                <c:pt idx="3">
                  <c:v>0.49997999999999998</c:v>
                </c:pt>
                <c:pt idx="4">
                  <c:v>0.99997000000000003</c:v>
                </c:pt>
                <c:pt idx="5">
                  <c:v>1.49996</c:v>
                </c:pt>
                <c:pt idx="6">
                  <c:v>1.9999499999999999</c:v>
                </c:pt>
                <c:pt idx="7">
                  <c:v>2.4999400000000001</c:v>
                </c:pt>
                <c:pt idx="8">
                  <c:v>2.99993</c:v>
                </c:pt>
                <c:pt idx="9">
                  <c:v>3.4999199999999999</c:v>
                </c:pt>
                <c:pt idx="10">
                  <c:v>3.9999099999999999</c:v>
                </c:pt>
                <c:pt idx="11">
                  <c:v>4.4999000000000002</c:v>
                </c:pt>
                <c:pt idx="12">
                  <c:v>4.9998899999999997</c:v>
                </c:pt>
                <c:pt idx="13">
                  <c:v>5.4998800000000001</c:v>
                </c:pt>
                <c:pt idx="14">
                  <c:v>5.9998699999999996</c:v>
                </c:pt>
                <c:pt idx="15">
                  <c:v>6.49986</c:v>
                </c:pt>
                <c:pt idx="16">
                  <c:v>6.9998500000000003</c:v>
                </c:pt>
                <c:pt idx="17">
                  <c:v>7.4998399999999998</c:v>
                </c:pt>
                <c:pt idx="18">
                  <c:v>7.9998300000000002</c:v>
                </c:pt>
                <c:pt idx="19">
                  <c:v>8.4998199999999997</c:v>
                </c:pt>
                <c:pt idx="20">
                  <c:v>8.9998100000000001</c:v>
                </c:pt>
                <c:pt idx="21">
                  <c:v>9.4998000000000005</c:v>
                </c:pt>
                <c:pt idx="22">
                  <c:v>9.9997900000000008</c:v>
                </c:pt>
                <c:pt idx="23">
                  <c:v>10.499779999999999</c:v>
                </c:pt>
              </c:numCache>
            </c:numRef>
          </c:cat>
          <c:val>
            <c:numRef>
              <c:f>Лист1!$C$12:$C$35</c:f>
              <c:numCache>
                <c:formatCode>General</c:formatCode>
                <c:ptCount val="24"/>
                <c:pt idx="0">
                  <c:v>3.9999500000019763</c:v>
                </c:pt>
                <c:pt idx="1">
                  <c:v>-0.84948500216800937</c:v>
                </c:pt>
                <c:pt idx="2">
                  <c:v>-0.9999999999565703</c:v>
                </c:pt>
                <c:pt idx="3">
                  <c:v>-0.91196078749737608</c:v>
                </c:pt>
                <c:pt idx="4">
                  <c:v>-0.6989855495065419</c:v>
                </c:pt>
                <c:pt idx="5">
                  <c:v>-0.40311632746529102</c:v>
                </c:pt>
                <c:pt idx="6">
                  <c:v>-4.5795822864864832E-2</c:v>
                </c:pt>
                <c:pt idx="7">
                  <c:v>0.36011885445954328</c:v>
                </c:pt>
                <c:pt idx="8">
                  <c:v>0.80611502965670345</c:v>
                </c:pt>
                <c:pt idx="9">
                  <c:v>1.286164518822301</c:v>
                </c:pt>
                <c:pt idx="10">
                  <c:v>1.7957858412631249</c:v>
                </c:pt>
                <c:pt idx="11">
                  <c:v>2.3315225337368655</c:v>
                </c:pt>
                <c:pt idx="12">
                  <c:v>2.8906308454640706</c:v>
                </c:pt>
                <c:pt idx="13">
                  <c:v>3.4708818148944394</c:v>
                </c:pt>
                <c:pt idx="14">
                  <c:v>4.0704299851257941</c:v>
                </c:pt>
                <c:pt idx="15">
                  <c:v>4.6877230097151843</c:v>
                </c:pt>
                <c:pt idx="16">
                  <c:v>5.3214374449818784</c:v>
                </c:pt>
                <c:pt idx="17">
                  <c:v>5.9704319243978725</c:v>
                </c:pt>
                <c:pt idx="18">
                  <c:v>6.6337122283410501</c:v>
                </c:pt>
                <c:pt idx="19">
                  <c:v>7.310404711255611</c:v>
                </c:pt>
                <c:pt idx="20">
                  <c:v>7.9997357365058921</c:v>
                </c:pt>
                <c:pt idx="21">
                  <c:v>8.7010155175900792</c:v>
                </c:pt>
                <c:pt idx="22">
                  <c:v>9.4136252493033528</c:v>
                </c:pt>
                <c:pt idx="23">
                  <c:v>10.137006734637673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9E-487B-9AF9-8EA3FA80DB0D}"/>
            </c:ext>
          </c:extLst>
        </c:ser>
        <c:ser>
          <c:idx val="1"/>
          <c:order val="1"/>
          <c:tx>
            <c:v>Аппроксимация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Лист1!$H$26:$H$49</c:f>
              <c:numCache>
                <c:formatCode>General</c:formatCode>
                <c:ptCount val="24"/>
                <c:pt idx="0">
                  <c:v>4.9998870996426685</c:v>
                </c:pt>
                <c:pt idx="1">
                  <c:v>0.77116953919531639</c:v>
                </c:pt>
                <c:pt idx="2">
                  <c:v>-0.9999811035087498</c:v>
                </c:pt>
                <c:pt idx="3">
                  <c:v>-1.4012411095234873</c:v>
                </c:pt>
                <c:pt idx="4">
                  <c:v>-1.1321430831103334</c:v>
                </c:pt>
                <c:pt idx="5">
                  <c:v>-0.60811116781885055</c:v>
                </c:pt>
                <c:pt idx="6">
                  <c:v>-4.5811783046100341E-2</c:v>
                </c:pt>
                <c:pt idx="7">
                  <c:v>0.46848587160286215</c:v>
                </c:pt>
                <c:pt idx="8">
                  <c:v>0.92584529683103911</c:v>
                </c:pt>
                <c:pt idx="9">
                  <c:v>1.3551999117196862</c:v>
                </c:pt>
                <c:pt idx="10">
                  <c:v>1.7957977620303289</c:v>
                </c:pt>
                <c:pt idx="11">
                  <c:v>2.2798594714160894</c:v>
                </c:pt>
                <c:pt idx="12">
                  <c:v>2.8237551882202978</c:v>
                </c:pt>
                <c:pt idx="13">
                  <c:v>3.4260062805394425</c:v>
                </c:pt>
                <c:pt idx="14">
                  <c:v>4.0704175322287792</c:v>
                </c:pt>
                <c:pt idx="15">
                  <c:v>4.7326455925277671</c:v>
                </c:pt>
                <c:pt idx="16">
                  <c:v>5.3885094319827331</c:v>
                </c:pt>
                <c:pt idx="17">
                  <c:v>6.0223485573456017</c:v>
                </c:pt>
                <c:pt idx="18">
                  <c:v>6.6337347381243177</c:v>
                </c:pt>
                <c:pt idx="19">
                  <c:v>7.2408429974646253</c:v>
                </c:pt>
                <c:pt idx="20">
                  <c:v>7.8787876200401286</c:v>
                </c:pt>
                <c:pt idx="21">
                  <c:v>8.5912289296269364</c:v>
                </c:pt>
                <c:pt idx="22">
                  <c:v>9.4135565890420025</c:v>
                </c:pt>
                <c:pt idx="23">
                  <c:v>10.345955175123436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9E-487B-9AF9-8EA3FA80D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903344"/>
        <c:axId val="253532320"/>
      </c:lineChart>
      <c:catAx>
        <c:axId val="338903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X</a:t>
                </a:r>
                <a:endParaRPr lang="ru-RU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3175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3532320"/>
        <c:crossesAt val="0"/>
        <c:auto val="1"/>
        <c:lblAlgn val="ctr"/>
        <c:lblOffset val="100"/>
        <c:tickLblSkip val="2"/>
        <c:tickMarkSkip val="2"/>
        <c:noMultiLvlLbl val="0"/>
      </c:catAx>
      <c:valAx>
        <c:axId val="253532320"/>
        <c:scaling>
          <c:orientation val="minMax"/>
          <c:max val="10"/>
          <c:min val="-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600"/>
                  <a:t> </a:t>
                </a:r>
                <a:r>
                  <a:rPr lang="en-US" sz="1600"/>
                  <a:t>f(x)</a:t>
                </a:r>
                <a:endParaRPr lang="ru-RU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8903344"/>
        <c:crosses val="autoZero"/>
        <c:crossBetween val="midCat"/>
        <c:majorUnit val="5"/>
        <c:dispUnits>
          <c:custUnit val="1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5930434782608689"/>
          <c:y val="0.78605410038030943"/>
          <c:w val="0.21171014492753623"/>
          <c:h val="9.18373774706733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1</xdr:row>
      <xdr:rowOff>85726</xdr:rowOff>
    </xdr:from>
    <xdr:to>
      <xdr:col>11</xdr:col>
      <xdr:colOff>523875</xdr:colOff>
      <xdr:row>20</xdr:row>
      <xdr:rowOff>171451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33B1E24-758B-4C47-AB8A-5158A2AE4C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142875</xdr:colOff>
      <xdr:row>0</xdr:row>
      <xdr:rowOff>180975</xdr:rowOff>
    </xdr:from>
    <xdr:to>
      <xdr:col>24</xdr:col>
      <xdr:colOff>19050</xdr:colOff>
      <xdr:row>13</xdr:row>
      <xdr:rowOff>209550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2EC4DBB-20FA-4837-8BDE-68C04B093B94}"/>
                </a:ext>
              </a:extLst>
            </xdr:cNvPr>
            <xdr:cNvSpPr txBox="1"/>
          </xdr:nvSpPr>
          <xdr:spPr>
            <a:xfrm>
              <a:off x="11382375" y="180975"/>
              <a:ext cx="5362575" cy="31718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ru-RU" sz="1100"/>
                <a:t>Имеем</a:t>
              </a:r>
              <a:r>
                <a:rPr lang="ru-RU" sz="1100" baseline="0"/>
                <a:t> 8 узлов аппроксимации. Будем аппроксимировать многочленом 7-ой степени.</a:t>
              </a:r>
            </a:p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 baseline="0">
                        <a:latin typeface="Cambria Math" panose="02040503050406030204" pitchFamily="18" charset="0"/>
                      </a:rPr>
                      <m:t>	</m:t>
                    </m:r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n-US" sz="1100" b="0" i="1" baseline="0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 baseline="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 baseline="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 baseline="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sSup>
                      <m:sSupPr>
                        <m:ctrlPr>
                          <a:rPr lang="en-US" sz="1100" b="0" i="1" baseline="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100" b="0" i="1" baseline="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  <m:sSup>
                      <m:sSupPr>
                        <m:ctrlPr>
                          <a:rPr lang="en-US" sz="1100" b="0" i="1" baseline="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+…</m:t>
                    </m:r>
                    <m:sSub>
                      <m:sSubPr>
                        <m:ctrlPr>
                          <a:rPr lang="en-US" sz="1100" b="0" i="1" baseline="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7</m:t>
                        </m:r>
                      </m:sub>
                    </m:sSub>
                    <m:sSup>
                      <m:sSupPr>
                        <m:ctrlPr>
                          <a:rPr lang="en-US" sz="1100" b="0" i="1" baseline="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7</m:t>
                        </m:r>
                      </m:sup>
                    </m:sSup>
                  </m:oMath>
                </m:oMathPara>
              </a14:m>
              <a:endParaRPr lang="en-US" sz="1100" b="0" baseline="0"/>
            </a:p>
            <a:p>
              <a:pPr algn="l"/>
              <a:endParaRPr lang="en-US" sz="1100" baseline="0"/>
            </a:p>
            <a:p>
              <a:pPr algn="l"/>
              <a:r>
                <a:rPr lang="ru-RU" sz="1100" baseline="0"/>
                <a:t>Чтобы найти </a:t>
              </a:r>
              <a14:m>
                <m:oMath xmlns:m="http://schemas.openxmlformats.org/officeDocument/2006/math">
                  <m:r>
                    <a:rPr lang="en-US" sz="1100" b="0" i="1" baseline="0">
                      <a:latin typeface="Cambria Math" panose="02040503050406030204" pitchFamily="18" charset="0"/>
                    </a:rPr>
                    <m:t>𝑎</m:t>
                  </m:r>
                </m:oMath>
              </a14:m>
              <a:r>
                <a:rPr lang="ru-RU" sz="1100" baseline="0"/>
                <a:t> нужно решить систему:</a:t>
              </a:r>
            </a:p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𝐶</m:t>
                    </m:r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𝑏</m:t>
                    </m:r>
                  </m:oMath>
                </m:oMathPara>
              </a14:m>
              <a:endParaRPr lang="en-US" sz="1100" b="0" baseline="0"/>
            </a:p>
            <a:p>
              <a:pPr algn="l"/>
              <a:r>
                <a:rPr lang="ru-RU" sz="1100" baseline="0"/>
                <a:t>Где</a:t>
              </a:r>
            </a:p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b="0" i="1" baseline="0">
                        <a:latin typeface="Cambria Math" panose="02040503050406030204" pitchFamily="18" charset="0"/>
                      </a:rPr>
                      <m:t>С=</m:t>
                    </m:r>
                    <m:d>
                      <m:dPr>
                        <m:ctrlPr>
                          <a:rPr lang="ru-RU" sz="1100" b="0" i="1" baseline="0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m>
                          <m:mPr>
                            <m:mcs>
                              <m:mc>
                                <m:mcPr>
                                  <m:count m:val="3"/>
                                  <m:mcJc m:val="center"/>
                                </m:mcPr>
                              </m:mc>
                            </m:mcs>
                            <m:ctrlPr>
                              <a:rPr lang="ru-RU" sz="1100" b="0" i="1" baseline="0">
                                <a:latin typeface="Cambria Math" panose="02040503050406030204" pitchFamily="18" charset="0"/>
                              </a:rPr>
                            </m:ctrlPr>
                          </m:mPr>
                          <m:mr>
                            <m:e>
                              <m:sSub>
                                <m:sSubPr>
                                  <m:ctrlPr>
                                    <a:rPr lang="ru-RU" sz="1100" b="0" i="1" baseline="0"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m:rPr>
                                      <m:brk m:alnAt="7"/>
                                    </m:rPr>
                                    <a:rPr lang="ru-RU" sz="1100" b="0" i="1" baseline="0">
                                      <a:latin typeface="Cambria Math" panose="02040503050406030204" pitchFamily="18" charset="0"/>
                                    </a:rPr>
                                    <m:t>С</m:t>
                                  </m:r>
                                </m:e>
                                <m:sub>
                                  <m:r>
                                    <m:rPr>
                                      <m:brk m:alnAt="7"/>
                                    </m:rPr>
                                    <a:rPr lang="ru-RU" sz="1100" b="0" i="1" baseline="0">
                                      <a:latin typeface="Cambria Math" panose="02040503050406030204" pitchFamily="18" charset="0"/>
                                    </a:rPr>
                                    <m:t>00</m:t>
                                  </m:r>
                                </m:sub>
                              </m:sSub>
                            </m:e>
                            <m:e>
                              <m:r>
                                <a:rPr lang="ru-RU" sz="1100" b="0" i="1" baseline="0">
                                  <a:latin typeface="Cambria Math" panose="02040503050406030204" pitchFamily="18" charset="0"/>
                                </a:rPr>
                                <m:t>⋯</m:t>
                              </m:r>
                            </m:e>
                            <m:e>
                              <m:sSub>
                                <m:sSubPr>
                                  <m:ctrlPr>
                                    <a:rPr lang="ru-RU" sz="1100" b="0" i="1" baseline="0"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ru-RU" sz="1100" b="0" i="1" baseline="0">
                                      <a:latin typeface="Cambria Math" panose="02040503050406030204" pitchFamily="18" charset="0"/>
                                    </a:rPr>
                                    <m:t>С</m:t>
                                  </m:r>
                                </m:e>
                                <m:sub>
                                  <m:r>
                                    <a:rPr lang="ru-RU" sz="1100" b="0" i="1" baseline="0">
                                      <a:latin typeface="Cambria Math" panose="02040503050406030204" pitchFamily="18" charset="0"/>
                                    </a:rPr>
                                    <m:t>0</m:t>
                                  </m:r>
                                  <m:r>
                                    <a:rPr lang="en-US" sz="1100" b="0" i="1" baseline="0">
                                      <a:latin typeface="Cambria Math" panose="02040503050406030204" pitchFamily="18" charset="0"/>
                                    </a:rPr>
                                    <m:t>𝑚</m:t>
                                  </m:r>
                                </m:sub>
                              </m:sSub>
                            </m:e>
                          </m:mr>
                          <m:mr>
                            <m:e>
                              <m:r>
                                <a:rPr lang="ru-RU" sz="1100" b="0" i="1" baseline="0">
                                  <a:latin typeface="Cambria Math" panose="02040503050406030204" pitchFamily="18" charset="0"/>
                                </a:rPr>
                                <m:t>⋮</m:t>
                              </m:r>
                            </m:e>
                            <m:e>
                              <m:r>
                                <a:rPr lang="ru-RU" sz="1100" b="0" i="1" baseline="0">
                                  <a:latin typeface="Cambria Math" panose="02040503050406030204" pitchFamily="18" charset="0"/>
                                </a:rPr>
                                <m:t>⋱</m:t>
                              </m:r>
                            </m:e>
                            <m:e>
                              <m:r>
                                <a:rPr lang="ru-RU" sz="1100" b="0" i="1" baseline="0">
                                  <a:latin typeface="Cambria Math" panose="02040503050406030204" pitchFamily="18" charset="0"/>
                                </a:rPr>
                                <m:t>⋮</m:t>
                              </m:r>
                            </m:e>
                          </m:mr>
                          <m:mr>
                            <m:e>
                              <m:sSub>
                                <m:sSubPr>
                                  <m:ctrlPr>
                                    <a:rPr lang="en-US" sz="1100" b="0" i="1" baseline="0"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n-US" sz="1100" b="0" i="1" baseline="0">
                                      <a:latin typeface="Cambria Math" panose="02040503050406030204" pitchFamily="18" charset="0"/>
                                    </a:rPr>
                                    <m:t>𝐶</m:t>
                                  </m:r>
                                </m:e>
                                <m:sub>
                                  <m:r>
                                    <a:rPr lang="en-US" sz="1100" b="0" i="1" baseline="0">
                                      <a:latin typeface="Cambria Math" panose="02040503050406030204" pitchFamily="18" charset="0"/>
                                    </a:rPr>
                                    <m:t>𝑚</m:t>
                                  </m:r>
                                  <m:r>
                                    <a:rPr lang="en-US" sz="1100" b="0" i="1" baseline="0">
                                      <a:latin typeface="Cambria Math" panose="02040503050406030204" pitchFamily="18" charset="0"/>
                                    </a:rPr>
                                    <m:t>0</m:t>
                                  </m:r>
                                </m:sub>
                              </m:sSub>
                            </m:e>
                            <m:e>
                              <m:r>
                                <a:rPr lang="ru-RU" sz="1100" b="0" i="1" baseline="0">
                                  <a:latin typeface="Cambria Math" panose="02040503050406030204" pitchFamily="18" charset="0"/>
                                </a:rPr>
                                <m:t>⋯</m:t>
                              </m:r>
                            </m:e>
                            <m:e>
                              <m:sSub>
                                <m:sSubPr>
                                  <m:ctrlPr>
                                    <a:rPr lang="en-US" sz="1100" b="0" i="1" baseline="0"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n-US" sz="1100" b="0" i="1" baseline="0">
                                      <a:latin typeface="Cambria Math" panose="02040503050406030204" pitchFamily="18" charset="0"/>
                                    </a:rPr>
                                    <m:t>𝐶</m:t>
                                  </m:r>
                                </m:e>
                                <m:sub>
                                  <m:r>
                                    <a:rPr lang="en-US" sz="1100" b="0" i="1" baseline="0">
                                      <a:latin typeface="Cambria Math" panose="02040503050406030204" pitchFamily="18" charset="0"/>
                                    </a:rPr>
                                    <m:t>𝑚𝑚</m:t>
                                  </m:r>
                                </m:sub>
                              </m:sSub>
                            </m:e>
                          </m:mr>
                        </m:m>
                      </m:e>
                    </m:d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.      </m:t>
                    </m:r>
                    <m:sSub>
                      <m:sSubPr>
                        <m:ctrlPr>
                          <a:rPr lang="en-US" sz="1100" b="0" i="1" baseline="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𝑙𝑗</m:t>
                        </m:r>
                      </m:sub>
                    </m:sSub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en-US" sz="1100" b="0" i="1" baseline="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 baseline="0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=0</m:t>
                        </m:r>
                      </m:sub>
                      <m:sup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sSubSup>
                          <m:sSubSupPr>
                            <m:ctrlPr>
                              <a:rPr lang="en-US" sz="1100" b="0" i="1" baseline="0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100" b="0" i="1" baseline="0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b="0" i="1" baseline="0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sz="1100" b="0" i="1" baseline="0">
                                <a:latin typeface="Cambria Math" panose="02040503050406030204" pitchFamily="18" charset="0"/>
                              </a:rPr>
                              <m:t>𝑙</m:t>
                            </m:r>
                            <m:r>
                              <a:rPr lang="en-US" sz="1100" b="0" i="1" baseline="0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n-US" sz="1100" b="0" i="1" baseline="0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p>
                        </m:sSubSup>
                      </m:e>
                    </m:nary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baseline="0"/>
            </a:p>
            <a:p>
              <a:pPr algn="ctr"/>
              <a:endParaRPr lang="en-US" sz="1100" baseline="0"/>
            </a:p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 baseline="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= </m:t>
                    </m:r>
                    <m:nary>
                      <m:naryPr>
                        <m:chr m:val="∑"/>
                        <m:ctrlPr>
                          <a:rPr lang="en-US" sz="1100" b="0" i="1" baseline="0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 baseline="0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=0</m:t>
                        </m:r>
                      </m:sub>
                      <m:sup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sSub>
                          <m:sSubPr>
                            <m:ctrlPr>
                              <a:rPr lang="en-US" sz="1100" b="0" i="1" baseline="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baseline="0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en-US" sz="1100" b="0" i="1" baseline="0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sSubSup>
                          <m:sSubSupPr>
                            <m:ctrlPr>
                              <a:rPr lang="en-US" sz="1100" b="0" i="1" baseline="0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100" b="0" i="1" baseline="0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b="0" i="1" baseline="0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sz="1100" b="0" i="1" baseline="0">
                                <a:latin typeface="Cambria Math" panose="02040503050406030204" pitchFamily="18" charset="0"/>
                              </a:rPr>
                              <m:t>𝑙</m:t>
                            </m:r>
                          </m:sup>
                        </m:sSubSup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,         </m:t>
                        </m:r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=0,</m:t>
                        </m:r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;      </m:t>
                        </m:r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𝑙</m:t>
                        </m:r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=0,</m:t>
                        </m:r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;</m:t>
                        </m:r>
                      </m:e>
                    </m:nary>
                  </m:oMath>
                </m:oMathPara>
              </a14:m>
              <a:endParaRPr lang="en-US" sz="1100" baseline="0"/>
            </a:p>
            <a:p>
              <a:pPr algn="ctr"/>
              <a:endParaRPr lang="ru-RU" sz="1100" baseline="0"/>
            </a:p>
            <a:p>
              <a:pPr algn="l"/>
              <a:r>
                <a:rPr lang="ru-RU" sz="1100" baseline="0"/>
                <a:t>Тогда для нахождения коэффициентов </a:t>
              </a:r>
              <a14:m>
                <m:oMath xmlns:m="http://schemas.openxmlformats.org/officeDocument/2006/math">
                  <m:r>
                    <a:rPr lang="en-US" sz="1100" b="0" i="1" baseline="0">
                      <a:latin typeface="Cambria Math" panose="02040503050406030204" pitchFamily="18" charset="0"/>
                    </a:rPr>
                    <m:t>𝑎</m:t>
                  </m:r>
                </m:oMath>
              </a14:m>
              <a:r>
                <a:rPr lang="ru-RU" sz="1100" baseline="0"/>
                <a:t> нужно:</a:t>
              </a:r>
            </a:p>
            <a:p>
              <a:pPr algn="l"/>
              <a:endParaRPr lang="ru-RU" sz="1100" baseline="0"/>
            </a:p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100" b="0" i="1" baseline="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p>
                        <m:r>
                          <a:rPr lang="en-US" sz="1100" b="0" i="1" baseline="0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sz="1100" b="0" i="1" baseline="0">
                        <a:latin typeface="Cambria Math" panose="02040503050406030204" pitchFamily="18" charset="0"/>
                      </a:rPr>
                      <m:t>𝑏</m:t>
                    </m:r>
                  </m:oMath>
                </m:oMathPara>
              </a14:m>
              <a:endParaRPr lang="ru-RU" sz="1100" baseline="0"/>
            </a:p>
            <a:p>
              <a:pPr algn="ctr"/>
              <a:r>
                <a:rPr lang="ru-RU" sz="1100" baseline="0"/>
                <a:t> </a:t>
              </a:r>
              <a:endParaRPr lang="ru-R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2EC4DBB-20FA-4837-8BDE-68C04B093B94}"/>
                </a:ext>
              </a:extLst>
            </xdr:cNvPr>
            <xdr:cNvSpPr txBox="1"/>
          </xdr:nvSpPr>
          <xdr:spPr>
            <a:xfrm>
              <a:off x="11382375" y="180975"/>
              <a:ext cx="5362575" cy="31718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ru-RU" sz="1100"/>
                <a:t>Имеем</a:t>
              </a:r>
              <a:r>
                <a:rPr lang="ru-RU" sz="1100" baseline="0"/>
                <a:t> 8 узлов аппроксимации. Будем аппроксимировать многочленом 7-ой степени.</a:t>
              </a:r>
            </a:p>
            <a:p>
              <a:pPr algn="ctr"/>
              <a:r>
                <a:rPr lang="en-US" sz="1100" i="0" baseline="0">
                  <a:latin typeface="Cambria Math" panose="02040503050406030204" pitchFamily="18" charset="0"/>
                </a:rPr>
                <a:t>	</a:t>
              </a:r>
              <a:r>
                <a:rPr lang="en-US" sz="1100" b="0" i="0" baseline="0">
                  <a:latin typeface="Cambria Math" panose="02040503050406030204" pitchFamily="18" charset="0"/>
                </a:rPr>
                <a:t>𝑓(𝑥)=𝑎_0+𝑎_1 𝑥+𝑎_2 𝑥^2+𝑎_3 𝑥^3+…𝑎_7 𝑥^7</a:t>
              </a:r>
              <a:endParaRPr lang="en-US" sz="1100" b="0" baseline="0"/>
            </a:p>
            <a:p>
              <a:pPr algn="l"/>
              <a:endParaRPr lang="en-US" sz="1100" baseline="0"/>
            </a:p>
            <a:p>
              <a:pPr algn="l"/>
              <a:r>
                <a:rPr lang="ru-RU" sz="1100" baseline="0"/>
                <a:t>Чтобы найти </a:t>
              </a:r>
              <a:r>
                <a:rPr lang="en-US" sz="1100" b="0" i="0" baseline="0">
                  <a:latin typeface="Cambria Math" panose="02040503050406030204" pitchFamily="18" charset="0"/>
                </a:rPr>
                <a:t>𝑎</a:t>
              </a:r>
              <a:r>
                <a:rPr lang="ru-RU" sz="1100" baseline="0"/>
                <a:t> нужно решить систему:</a:t>
              </a:r>
            </a:p>
            <a:p>
              <a:pPr algn="ctr"/>
              <a:r>
                <a:rPr lang="en-US" sz="1100" b="0" i="0" baseline="0">
                  <a:latin typeface="Cambria Math" panose="02040503050406030204" pitchFamily="18" charset="0"/>
                </a:rPr>
                <a:t>𝐶⋅𝑎=𝑏</a:t>
              </a:r>
              <a:endParaRPr lang="en-US" sz="1100" b="0" baseline="0"/>
            </a:p>
            <a:p>
              <a:pPr algn="l"/>
              <a:r>
                <a:rPr lang="ru-RU" sz="1100" baseline="0"/>
                <a:t>Где</a:t>
              </a:r>
            </a:p>
            <a:p>
              <a:pPr algn="ctr"/>
              <a:r>
                <a:rPr lang="ru-RU" sz="1100" b="0" i="0" baseline="0">
                  <a:latin typeface="Cambria Math" panose="02040503050406030204" pitchFamily="18" charset="0"/>
                </a:rPr>
                <a:t>С=(■8(С_00&amp;⋯&amp;С_0</a:t>
              </a:r>
              <a:r>
                <a:rPr lang="en-US" sz="1100" b="0" i="0" baseline="0">
                  <a:latin typeface="Cambria Math" panose="02040503050406030204" pitchFamily="18" charset="0"/>
                </a:rPr>
                <a:t>𝑚</a:t>
              </a:r>
              <a:r>
                <a:rPr lang="ru-RU" sz="1100" b="0" i="0" baseline="0">
                  <a:latin typeface="Cambria Math" panose="02040503050406030204" pitchFamily="18" charset="0"/>
                </a:rPr>
                <a:t>@⋮&amp;⋱&amp;⋮@</a:t>
              </a:r>
              <a:r>
                <a:rPr lang="en-US" sz="1100" b="0" i="0" baseline="0">
                  <a:latin typeface="Cambria Math" panose="02040503050406030204" pitchFamily="18" charset="0"/>
                </a:rPr>
                <a:t>𝐶_𝑚0</a:t>
              </a:r>
              <a:r>
                <a:rPr lang="ru-RU" sz="1100" b="0" i="0" baseline="0">
                  <a:latin typeface="Cambria Math" panose="02040503050406030204" pitchFamily="18" charset="0"/>
                </a:rPr>
                <a:t>&amp;⋯&amp;</a:t>
              </a:r>
              <a:r>
                <a:rPr lang="en-US" sz="1100" b="0" i="0" baseline="0">
                  <a:latin typeface="Cambria Math" panose="02040503050406030204" pitchFamily="18" charset="0"/>
                </a:rPr>
                <a:t>𝐶_𝑚𝑚</a:t>
              </a:r>
              <a:r>
                <a:rPr lang="ru-RU" sz="1100" b="0" i="0" baseline="0">
                  <a:latin typeface="Cambria Math" panose="02040503050406030204" pitchFamily="18" charset="0"/>
                </a:rPr>
                <a:t> ))</a:t>
              </a:r>
              <a:r>
                <a:rPr lang="en-US" sz="1100" b="0" i="0" baseline="0">
                  <a:latin typeface="Cambria Math" panose="02040503050406030204" pitchFamily="18" charset="0"/>
                </a:rPr>
                <a:t>.      𝐶_𝑙𝑗=∑24_(𝑖=0)^𝑛▒𝑥_𝑖^(𝑙+𝑗)   </a:t>
              </a:r>
              <a:endParaRPr lang="en-US" sz="1100" baseline="0"/>
            </a:p>
            <a:p>
              <a:pPr algn="ctr"/>
              <a:endParaRPr lang="en-US" sz="1100" baseline="0"/>
            </a:p>
            <a:p>
              <a:pPr algn="ctr"/>
              <a:r>
                <a:rPr lang="en-US" sz="1100" b="0" i="0" baseline="0">
                  <a:latin typeface="Cambria Math" panose="02040503050406030204" pitchFamily="18" charset="0"/>
                </a:rPr>
                <a:t>𝑏_𝑖= ∑24_(𝑖=0)^𝑛▒〖𝑦_𝑖 𝑥_𝑖^𝑙,         𝑗=0,𝑚;      𝑙=0,𝑚;〗</a:t>
              </a:r>
              <a:endParaRPr lang="en-US" sz="1100" baseline="0"/>
            </a:p>
            <a:p>
              <a:pPr algn="ctr"/>
              <a:endParaRPr lang="ru-RU" sz="1100" baseline="0"/>
            </a:p>
            <a:p>
              <a:pPr algn="l"/>
              <a:r>
                <a:rPr lang="ru-RU" sz="1100" baseline="0"/>
                <a:t>Тогда для нахождения коэффициентов </a:t>
              </a:r>
              <a:r>
                <a:rPr lang="en-US" sz="1100" b="0" i="0" baseline="0">
                  <a:latin typeface="Cambria Math" panose="02040503050406030204" pitchFamily="18" charset="0"/>
                </a:rPr>
                <a:t>𝑎</a:t>
              </a:r>
              <a:r>
                <a:rPr lang="ru-RU" sz="1100" baseline="0"/>
                <a:t> нужно:</a:t>
              </a:r>
            </a:p>
            <a:p>
              <a:pPr algn="l"/>
              <a:endParaRPr lang="ru-RU" sz="1100" baseline="0"/>
            </a:p>
            <a:p>
              <a:pPr algn="l"/>
              <a:r>
                <a:rPr lang="en-US" sz="1100" b="0" i="0" baseline="0">
                  <a:latin typeface="Cambria Math" panose="02040503050406030204" pitchFamily="18" charset="0"/>
                </a:rPr>
                <a:t>𝑎=𝐶^(−1)⋅𝑏</a:t>
              </a:r>
              <a:endParaRPr lang="ru-RU" sz="1100" baseline="0"/>
            </a:p>
            <a:p>
              <a:pPr algn="ctr"/>
              <a:r>
                <a:rPr lang="ru-RU" sz="1100" baseline="0"/>
                <a:t> </a:t>
              </a:r>
              <a:endParaRPr lang="ru-RU" sz="1100"/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1;&#1072;&#1073;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етод простых итераций"/>
      <sheetName val="Метод Ньютона"/>
      <sheetName val="Метод половинного деления"/>
    </sheetNames>
    <sheetDataSet>
      <sheetData sheetId="0">
        <row r="9">
          <cell r="C9" t="str">
            <v>y=x*lg(x+1)-1</v>
          </cell>
        </row>
        <row r="10">
          <cell r="B10">
            <v>-0.99999000000000005</v>
          </cell>
          <cell r="C10">
            <v>3.9999500000019763</v>
          </cell>
        </row>
        <row r="11">
          <cell r="B11">
            <v>-0.5</v>
          </cell>
          <cell r="C11">
            <v>-0.84948500216800937</v>
          </cell>
        </row>
        <row r="12">
          <cell r="B12">
            <v>-1.00000000000655E-5</v>
          </cell>
          <cell r="C12">
            <v>-0.9999999999565703</v>
          </cell>
        </row>
        <row r="13">
          <cell r="B13">
            <v>0.49997999999999998</v>
          </cell>
          <cell r="C13">
            <v>-0.91196078749737608</v>
          </cell>
        </row>
        <row r="14">
          <cell r="B14">
            <v>0.99997000000000003</v>
          </cell>
          <cell r="C14">
            <v>-0.6989855495065419</v>
          </cell>
        </row>
        <row r="15">
          <cell r="B15">
            <v>1.49996</v>
          </cell>
          <cell r="C15">
            <v>-0.40311632746529102</v>
          </cell>
        </row>
        <row r="16">
          <cell r="B16">
            <v>1.9999499999999999</v>
          </cell>
          <cell r="C16">
            <v>-4.5795822864864832E-2</v>
          </cell>
        </row>
        <row r="17">
          <cell r="B17">
            <v>2.4999400000000001</v>
          </cell>
          <cell r="C17">
            <v>0.36011885445954328</v>
          </cell>
        </row>
        <row r="18">
          <cell r="B18">
            <v>2.99993</v>
          </cell>
          <cell r="C18">
            <v>0.80611502965670345</v>
          </cell>
        </row>
        <row r="19">
          <cell r="B19">
            <v>3.4999199999999999</v>
          </cell>
          <cell r="C19">
            <v>1.286164518822301</v>
          </cell>
        </row>
        <row r="20">
          <cell r="B20">
            <v>3.9999099999999999</v>
          </cell>
          <cell r="C20">
            <v>1.7957858412631249</v>
          </cell>
        </row>
        <row r="21">
          <cell r="B21">
            <v>4.4999000000000002</v>
          </cell>
          <cell r="C21">
            <v>2.3315225337368655</v>
          </cell>
        </row>
        <row r="22">
          <cell r="B22">
            <v>4.9998899999999997</v>
          </cell>
          <cell r="C22">
            <v>2.8906308454640706</v>
          </cell>
        </row>
        <row r="23">
          <cell r="B23">
            <v>5.4998800000000001</v>
          </cell>
          <cell r="C23">
            <v>3.4708818148944394</v>
          </cell>
        </row>
        <row r="24">
          <cell r="B24">
            <v>5.9998699999999996</v>
          </cell>
          <cell r="C24">
            <v>4.0704299851257941</v>
          </cell>
        </row>
        <row r="25">
          <cell r="B25">
            <v>6.49986</v>
          </cell>
          <cell r="C25">
            <v>4.6877230097151843</v>
          </cell>
        </row>
        <row r="26">
          <cell r="B26">
            <v>6.9998500000000003</v>
          </cell>
          <cell r="C26">
            <v>5.3214374449818784</v>
          </cell>
        </row>
        <row r="27">
          <cell r="B27">
            <v>7.4998399999999998</v>
          </cell>
          <cell r="C27">
            <v>5.9704319243978725</v>
          </cell>
        </row>
        <row r="28">
          <cell r="B28">
            <v>7.9998300000000002</v>
          </cell>
          <cell r="C28">
            <v>6.6337122283410501</v>
          </cell>
        </row>
        <row r="29">
          <cell r="B29">
            <v>8.4998199999999997</v>
          </cell>
          <cell r="C29">
            <v>7.310404711255611</v>
          </cell>
        </row>
        <row r="30">
          <cell r="B30">
            <v>8.9998100000000001</v>
          </cell>
          <cell r="C30">
            <v>7.9997357365058921</v>
          </cell>
        </row>
        <row r="31">
          <cell r="B31">
            <v>9.4998000000000005</v>
          </cell>
          <cell r="C31">
            <v>8.7010155175900792</v>
          </cell>
        </row>
        <row r="32">
          <cell r="B32">
            <v>9.9997900000000008</v>
          </cell>
          <cell r="C32">
            <v>9.4136252493033528</v>
          </cell>
        </row>
        <row r="33">
          <cell r="B33">
            <v>10.499779999999999</v>
          </cell>
          <cell r="C33">
            <v>10.137006734637673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94DB0-054A-4D46-9234-9927C8D0FB04}">
  <dimension ref="B1:AA49"/>
  <sheetViews>
    <sheetView tabSelected="1" workbookViewId="0">
      <selection activeCell="J28" sqref="J28"/>
    </sheetView>
  </sheetViews>
  <sheetFormatPr defaultRowHeight="18.75" x14ac:dyDescent="0.3"/>
  <cols>
    <col min="1" max="1" width="9.140625" style="1"/>
    <col min="2" max="2" width="17.5703125" style="1" customWidth="1"/>
    <col min="3" max="3" width="18.5703125" style="1" customWidth="1"/>
    <col min="4" max="6" width="9.140625" style="1"/>
    <col min="7" max="7" width="11.5703125" style="1" customWidth="1"/>
    <col min="8" max="13" width="9.140625" style="1"/>
    <col min="14" max="14" width="14.140625" style="1" customWidth="1"/>
    <col min="15" max="15" width="17.7109375" style="1" customWidth="1"/>
    <col min="16" max="16" width="17.140625" style="1" bestFit="1" customWidth="1"/>
    <col min="17" max="22" width="9.28515625" style="1" bestFit="1" customWidth="1"/>
    <col min="23" max="23" width="16.85546875" style="1" bestFit="1" customWidth="1"/>
    <col min="24" max="16384" width="9.140625" style="1"/>
  </cols>
  <sheetData>
    <row r="1" spans="2:27" ht="19.5" thickBot="1" x14ac:dyDescent="0.35">
      <c r="D1" s="12" t="s">
        <v>0</v>
      </c>
      <c r="E1" s="13"/>
      <c r="F1" s="13"/>
      <c r="G1" s="13"/>
      <c r="H1" s="13"/>
      <c r="I1" s="13"/>
      <c r="J1" s="14"/>
      <c r="N1" s="15" t="s">
        <v>11</v>
      </c>
      <c r="O1" s="15"/>
    </row>
    <row r="3" spans="2:27" ht="19.5" thickBot="1" x14ac:dyDescent="0.35">
      <c r="N3" s="8" t="s">
        <v>8</v>
      </c>
      <c r="O3" s="8" t="s">
        <v>10</v>
      </c>
    </row>
    <row r="4" spans="2:27" x14ac:dyDescent="0.3">
      <c r="B4" s="2" t="s">
        <v>1</v>
      </c>
      <c r="C4" s="3"/>
      <c r="M4" s="1">
        <v>1</v>
      </c>
      <c r="N4" s="8">
        <v>-0.99999899999999997</v>
      </c>
      <c r="O4" s="8">
        <v>4.9999939999875114</v>
      </c>
    </row>
    <row r="5" spans="2:27" x14ac:dyDescent="0.3">
      <c r="B5" s="4" t="s">
        <v>2</v>
      </c>
      <c r="C5" s="5" t="s">
        <v>3</v>
      </c>
      <c r="M5" s="1">
        <v>2</v>
      </c>
      <c r="N5" s="16">
        <v>1E-14</v>
      </c>
      <c r="O5" s="8">
        <v>-1</v>
      </c>
    </row>
    <row r="6" spans="2:27" ht="19.5" thickBot="1" x14ac:dyDescent="0.35">
      <c r="B6" s="6" t="s">
        <v>4</v>
      </c>
      <c r="C6" s="7" t="s">
        <v>5</v>
      </c>
      <c r="M6" s="1">
        <v>3</v>
      </c>
      <c r="N6" s="8">
        <v>2</v>
      </c>
      <c r="O6" s="8">
        <v>-4.5757490560675129E-2</v>
      </c>
    </row>
    <row r="7" spans="2:27" x14ac:dyDescent="0.3">
      <c r="M7" s="1">
        <v>4</v>
      </c>
      <c r="N7" s="8">
        <v>4</v>
      </c>
      <c r="O7" s="8">
        <v>1.7958800173440754</v>
      </c>
    </row>
    <row r="8" spans="2:27" x14ac:dyDescent="0.3">
      <c r="B8" s="8" t="s">
        <v>6</v>
      </c>
      <c r="C8" s="8" t="s">
        <v>7</v>
      </c>
      <c r="M8" s="1">
        <v>5</v>
      </c>
      <c r="N8" s="8">
        <v>6</v>
      </c>
      <c r="O8" s="8">
        <v>4.0705882400855407</v>
      </c>
    </row>
    <row r="9" spans="2:27" x14ac:dyDescent="0.3">
      <c r="M9" s="1">
        <v>6</v>
      </c>
      <c r="N9" s="8">
        <v>8</v>
      </c>
      <c r="O9" s="8">
        <v>6.633940075514599</v>
      </c>
    </row>
    <row r="10" spans="2:27" ht="19.5" thickBot="1" x14ac:dyDescent="0.35">
      <c r="M10" s="1">
        <v>7</v>
      </c>
      <c r="N10" s="8">
        <v>10</v>
      </c>
      <c r="O10" s="8">
        <v>9.4139268515822518</v>
      </c>
    </row>
    <row r="11" spans="2:27" ht="19.5" thickBot="1" x14ac:dyDescent="0.35">
      <c r="B11" s="9" t="s">
        <v>8</v>
      </c>
      <c r="C11" s="10" t="s">
        <v>9</v>
      </c>
      <c r="M11" s="1">
        <v>8</v>
      </c>
      <c r="N11" s="8">
        <v>12</v>
      </c>
      <c r="O11" s="8">
        <v>12.36732022768204</v>
      </c>
    </row>
    <row r="12" spans="2:27" x14ac:dyDescent="0.3">
      <c r="B12" s="11">
        <v>-0.99999000000000005</v>
      </c>
      <c r="C12" s="11">
        <v>3.9999500000019763</v>
      </c>
    </row>
    <row r="13" spans="2:27" x14ac:dyDescent="0.3">
      <c r="B13" s="8">
        <v>-0.5</v>
      </c>
      <c r="C13" s="8">
        <v>-0.84948500216800937</v>
      </c>
    </row>
    <row r="14" spans="2:27" x14ac:dyDescent="0.3">
      <c r="B14" s="8">
        <v>-1.00000000000655E-5</v>
      </c>
      <c r="C14" s="8">
        <v>-0.9999999999565703</v>
      </c>
    </row>
    <row r="15" spans="2:27" ht="19.5" thickBot="1" x14ac:dyDescent="0.35">
      <c r="B15" s="8">
        <v>0.49997999999999998</v>
      </c>
      <c r="C15" s="8">
        <v>-0.91196078749737608</v>
      </c>
    </row>
    <row r="16" spans="2:27" ht="19.5" thickBot="1" x14ac:dyDescent="0.35">
      <c r="B16" s="8">
        <v>0.99997000000000003</v>
      </c>
      <c r="C16" s="8">
        <v>-0.6989855495065419</v>
      </c>
      <c r="P16" s="12" t="s">
        <v>12</v>
      </c>
      <c r="Q16" s="13"/>
      <c r="R16" s="13"/>
      <c r="S16" s="13"/>
      <c r="T16" s="13"/>
      <c r="U16" s="13"/>
      <c r="V16" s="13"/>
      <c r="W16" s="14"/>
      <c r="X16" s="17"/>
      <c r="Y16" s="17"/>
      <c r="Z16" s="17"/>
      <c r="AA16" s="17"/>
    </row>
    <row r="17" spans="2:25" x14ac:dyDescent="0.3">
      <c r="B17" s="8">
        <v>1.49996</v>
      </c>
      <c r="C17" s="8">
        <v>-0.40311632746529102</v>
      </c>
      <c r="P17" s="1">
        <v>0</v>
      </c>
      <c r="Q17" s="1">
        <v>1</v>
      </c>
      <c r="R17" s="1">
        <v>2</v>
      </c>
      <c r="S17" s="1">
        <v>3</v>
      </c>
      <c r="T17" s="1">
        <v>4</v>
      </c>
      <c r="U17" s="1">
        <v>5</v>
      </c>
      <c r="V17" s="1">
        <v>6</v>
      </c>
      <c r="W17" s="1">
        <v>7</v>
      </c>
    </row>
    <row r="18" spans="2:25" x14ac:dyDescent="0.3">
      <c r="B18" s="8">
        <v>1.9999499999999999</v>
      </c>
      <c r="C18" s="8">
        <v>-4.5795822864864832E-2</v>
      </c>
      <c r="O18" s="1">
        <v>0</v>
      </c>
      <c r="P18" s="8" cm="1">
        <f t="array" ref="P18">SUM(($N$4:$N$11)^($O18+P$17))</f>
        <v>8</v>
      </c>
      <c r="Q18" s="8" cm="1">
        <f t="array" ref="Q18">SUM(($N$4:$N$11)^($O18+Q$17))</f>
        <v>41.000001000000012</v>
      </c>
      <c r="R18" s="8" cm="1">
        <f t="array" ref="R18">SUM(($N$4:$N$11)^($O18+R$17))</f>
        <v>364.99999800000103</v>
      </c>
      <c r="S18" s="8" cm="1">
        <f t="array" ref="S18">SUM(($N$4:$N$11)^($O18+S$17))</f>
        <v>3527.0000029999969</v>
      </c>
      <c r="T18" s="8" cm="1">
        <f t="array" ref="T18">SUM(($N$4:$N$11)^($O18+T$17))</f>
        <v>36400.999996000006</v>
      </c>
      <c r="U18" s="8" cm="1">
        <f t="array" ref="U18">SUM(($N$4:$N$11)^($O18+U$17))</f>
        <v>390431.00000499998</v>
      </c>
      <c r="V18" s="8" cm="1">
        <f t="array" ref="V18">SUM(($N$4:$N$11)^($O18+V$17))</f>
        <v>4298944.9999940004</v>
      </c>
      <c r="W18" s="8" cm="1">
        <f t="array" ref="W18">SUM(($N$4:$N$11)^($O18+W$17))</f>
        <v>48225407.000007004</v>
      </c>
    </row>
    <row r="19" spans="2:25" x14ac:dyDescent="0.3">
      <c r="B19" s="8">
        <v>2.4999400000000001</v>
      </c>
      <c r="C19" s="8">
        <v>0.36011885445954328</v>
      </c>
      <c r="O19" s="1">
        <v>1</v>
      </c>
      <c r="P19" s="8" cm="1">
        <f t="array" ref="P19">SUM(($N$4:$N$11)^($O19+P$17))</f>
        <v>41.000001000000012</v>
      </c>
      <c r="Q19" s="8" cm="1">
        <f t="array" ref="Q19">SUM(($N$4:$N$11)^($O19+Q$17))</f>
        <v>364.99999800000103</v>
      </c>
      <c r="R19" s="8" cm="1">
        <f t="array" ref="R19">SUM(($N$4:$N$11)^($O19+R$17))</f>
        <v>3527.0000029999969</v>
      </c>
      <c r="S19" s="8" cm="1">
        <f t="array" ref="S19">SUM(($N$4:$N$11)^($O19+S$17))</f>
        <v>36400.999996000006</v>
      </c>
      <c r="T19" s="8" cm="1">
        <f t="array" ref="T19">SUM(($N$4:$N$11)^($O19+T$17))</f>
        <v>390431.00000499998</v>
      </c>
      <c r="U19" s="8" cm="1">
        <f t="array" ref="U19">SUM(($N$4:$N$11)^($O19+U$17))</f>
        <v>4298944.9999940004</v>
      </c>
      <c r="V19" s="8" cm="1">
        <f t="array" ref="V19">SUM(($N$4:$N$11)^($O19+V$17))</f>
        <v>48225407.000007004</v>
      </c>
      <c r="W19" s="8" cm="1">
        <f t="array" ref="W19">SUM(($N$4:$N$11)^($O19+W$17))</f>
        <v>548504320.99999201</v>
      </c>
    </row>
    <row r="20" spans="2:25" x14ac:dyDescent="0.3">
      <c r="B20" s="8">
        <v>2.99993</v>
      </c>
      <c r="C20" s="8">
        <v>0.80611502965670345</v>
      </c>
      <c r="O20" s="1">
        <v>2</v>
      </c>
      <c r="P20" s="8" cm="1">
        <f t="array" ref="P20">SUM(($N$4:$N$11)^($O20+P$17))</f>
        <v>364.99999800000103</v>
      </c>
      <c r="Q20" s="8" cm="1">
        <f t="array" ref="Q20">SUM(($N$4:$N$11)^($O20+Q$17))</f>
        <v>3527.0000029999969</v>
      </c>
      <c r="R20" s="8" cm="1">
        <f t="array" ref="R20">SUM(($N$4:$N$11)^($O20+R$17))</f>
        <v>36400.999996000006</v>
      </c>
      <c r="S20" s="8" cm="1">
        <f t="array" ref="S20">SUM(($N$4:$N$11)^($O20+S$17))</f>
        <v>390431.00000499998</v>
      </c>
      <c r="T20" s="8" cm="1">
        <f t="array" ref="T20">SUM(($N$4:$N$11)^($O20+T$17))</f>
        <v>4298944.9999940004</v>
      </c>
      <c r="U20" s="8" cm="1">
        <f t="array" ref="U20">SUM(($N$4:$N$11)^($O20+U$17))</f>
        <v>48225407.000007004</v>
      </c>
      <c r="V20" s="8" cm="1">
        <f t="array" ref="V20">SUM(($N$4:$N$11)^($O20+V$17))</f>
        <v>548504320.99999201</v>
      </c>
      <c r="W20" s="8" cm="1">
        <f t="array" ref="W20">SUM(($N$4:$N$11)^($O20+W$17))</f>
        <v>6304338431.0000095</v>
      </c>
    </row>
    <row r="21" spans="2:25" x14ac:dyDescent="0.3">
      <c r="B21" s="8">
        <v>3.4999199999999999</v>
      </c>
      <c r="C21" s="8">
        <v>1.286164518822301</v>
      </c>
      <c r="O21" s="1">
        <v>3</v>
      </c>
      <c r="P21" s="8" cm="1">
        <f t="array" ref="P21">SUM(($N$4:$N$11)^($O21+P$17))</f>
        <v>3527.0000029999969</v>
      </c>
      <c r="Q21" s="8" cm="1">
        <f t="array" ref="Q21">SUM(($N$4:$N$11)^($O21+Q$17))</f>
        <v>36400.999996000006</v>
      </c>
      <c r="R21" s="8" cm="1">
        <f t="array" ref="R21">SUM(($N$4:$N$11)^($O21+R$17))</f>
        <v>390431.00000499998</v>
      </c>
      <c r="S21" s="8" cm="1">
        <f t="array" ref="S21">SUM(($N$4:$N$11)^($O21+S$17))</f>
        <v>4298944.9999940004</v>
      </c>
      <c r="T21" s="8" cm="1">
        <f t="array" ref="T21">SUM(($N$4:$N$11)^($O21+T$17))</f>
        <v>48225407.000007004</v>
      </c>
      <c r="U21" s="8" cm="1">
        <f t="array" ref="U21">SUM(($N$4:$N$11)^($O21+U$17))</f>
        <v>548504320.99999201</v>
      </c>
      <c r="V21" s="8" cm="1">
        <f t="array" ref="V21">SUM(($N$4:$N$11)^($O21+V$17))</f>
        <v>6304338431.0000095</v>
      </c>
      <c r="W21" s="8" cm="1">
        <f t="array" ref="W21">SUM(($N$4:$N$11)^($O21+W$17))</f>
        <v>73052621824.999985</v>
      </c>
    </row>
    <row r="22" spans="2:25" x14ac:dyDescent="0.3">
      <c r="B22" s="8">
        <v>3.9999099999999999</v>
      </c>
      <c r="C22" s="8">
        <v>1.7957858412631249</v>
      </c>
      <c r="O22" s="1">
        <v>4</v>
      </c>
      <c r="P22" s="8" cm="1">
        <f t="array" ref="P22">SUM(($N$4:$N$11)^($O22+P$17))</f>
        <v>36400.999996000006</v>
      </c>
      <c r="Q22" s="8" cm="1">
        <f t="array" ref="Q22">SUM(($N$4:$N$11)^($O22+Q$17))</f>
        <v>390431.00000499998</v>
      </c>
      <c r="R22" s="8" cm="1">
        <f t="array" ref="R22">SUM(($N$4:$N$11)^($O22+R$17))</f>
        <v>4298944.9999940004</v>
      </c>
      <c r="S22" s="8" cm="1">
        <f t="array" ref="S22">SUM(($N$4:$N$11)^($O22+S$17))</f>
        <v>48225407.000007004</v>
      </c>
      <c r="T22" s="8" cm="1">
        <f t="array" ref="T22">SUM(($N$4:$N$11)^($O22+T$17))</f>
        <v>548504320.99999201</v>
      </c>
      <c r="U22" s="8" cm="1">
        <f t="array" ref="U22">SUM(($N$4:$N$11)^($O22+U$17))</f>
        <v>6304338431.0000095</v>
      </c>
      <c r="V22" s="8" cm="1">
        <f t="array" ref="V22">SUM(($N$4:$N$11)^($O22+V$17))</f>
        <v>73052621824.999985</v>
      </c>
      <c r="W22" s="8" cm="1">
        <f t="array" ref="W22">SUM(($N$4:$N$11)^($O22+W$17))</f>
        <v>851965298687</v>
      </c>
    </row>
    <row r="23" spans="2:25" x14ac:dyDescent="0.3">
      <c r="B23" s="8">
        <v>4.4999000000000002</v>
      </c>
      <c r="C23" s="8">
        <v>2.3315225337368655</v>
      </c>
      <c r="O23" s="1">
        <v>5</v>
      </c>
      <c r="P23" s="8" cm="1">
        <f t="array" ref="P23">SUM(($N$4:$N$11)^($O23+P$17))</f>
        <v>390431.00000499998</v>
      </c>
      <c r="Q23" s="8" cm="1">
        <f t="array" ref="Q23">SUM(($N$4:$N$11)^($O23+Q$17))</f>
        <v>4298944.9999940004</v>
      </c>
      <c r="R23" s="8" cm="1">
        <f t="array" ref="R23">SUM(($N$4:$N$11)^($O23+R$17))</f>
        <v>48225407.000007004</v>
      </c>
      <c r="S23" s="8" cm="1">
        <f t="array" ref="S23">SUM(($N$4:$N$11)^($O23+S$17))</f>
        <v>548504320.99999201</v>
      </c>
      <c r="T23" s="8" cm="1">
        <f t="array" ref="T23">SUM(($N$4:$N$11)^($O23+T$17))</f>
        <v>6304338431.0000095</v>
      </c>
      <c r="U23" s="8" cm="1">
        <f t="array" ref="U23">SUM(($N$4:$N$11)^($O23+U$17))</f>
        <v>73052621824.999985</v>
      </c>
      <c r="V23" s="8" cm="1">
        <f t="array" ref="V23">SUM(($N$4:$N$11)^($O23+V$17))</f>
        <v>851965298687</v>
      </c>
      <c r="W23" s="8" cm="1">
        <f t="array" ref="W23">SUM(($N$4:$N$11)^($O23+W$17))</f>
        <v>9987013488641</v>
      </c>
    </row>
    <row r="24" spans="2:25" ht="19.5" thickBot="1" x14ac:dyDescent="0.35">
      <c r="B24" s="8">
        <v>4.9998899999999997</v>
      </c>
      <c r="C24" s="8">
        <v>2.8906308454640706</v>
      </c>
      <c r="O24" s="1">
        <v>6</v>
      </c>
      <c r="P24" s="8" cm="1">
        <f t="array" ref="P24">SUM(($N$4:$N$11)^($O24+P$17))</f>
        <v>4298944.9999940004</v>
      </c>
      <c r="Q24" s="8" cm="1">
        <f t="array" ref="Q24">SUM(($N$4:$N$11)^($O24+Q$17))</f>
        <v>48225407.000007004</v>
      </c>
      <c r="R24" s="8" cm="1">
        <f t="array" ref="R24">SUM(($N$4:$N$11)^($O24+R$17))</f>
        <v>548504320.99999201</v>
      </c>
      <c r="S24" s="8" cm="1">
        <f t="array" ref="S24">SUM(($N$4:$N$11)^($O24+S$17))</f>
        <v>6304338431.0000095</v>
      </c>
      <c r="T24" s="8" cm="1">
        <f t="array" ref="T24">SUM(($N$4:$N$11)^($O24+T$17))</f>
        <v>73052621824.999985</v>
      </c>
      <c r="U24" s="8" cm="1">
        <f t="array" ref="U24">SUM(($N$4:$N$11)^($O24+U$17))</f>
        <v>851965298687</v>
      </c>
      <c r="V24" s="8" cm="1">
        <f t="array" ref="V24">SUM(($N$4:$N$11)^($O24+V$17))</f>
        <v>9987013488641</v>
      </c>
      <c r="W24" s="8" cm="1">
        <f t="array" ref="W24">SUM(($N$4:$N$11)^($O24+W$17))</f>
        <v>117556089004031</v>
      </c>
    </row>
    <row r="25" spans="2:25" ht="19.5" thickBot="1" x14ac:dyDescent="0.35">
      <c r="B25" s="8">
        <v>5.4998800000000001</v>
      </c>
      <c r="C25" s="8">
        <v>3.4708818148944394</v>
      </c>
      <c r="G25" s="21" t="s">
        <v>8</v>
      </c>
      <c r="H25" s="18" t="s">
        <v>16</v>
      </c>
      <c r="O25" s="1">
        <v>7</v>
      </c>
      <c r="P25" s="8" cm="1">
        <f t="array" ref="P25">SUM(($N$4:$N$11)^($O25+P$17))</f>
        <v>48225407.000007004</v>
      </c>
      <c r="Q25" s="8" cm="1">
        <f t="array" ref="Q25">SUM(($N$4:$N$11)^($O25+Q$17))</f>
        <v>548504320.99999201</v>
      </c>
      <c r="R25" s="8" cm="1">
        <f t="array" ref="R25">SUM(($N$4:$N$11)^($O25+R$17))</f>
        <v>6304338431.0000095</v>
      </c>
      <c r="S25" s="8" cm="1">
        <f t="array" ref="S25">SUM(($N$4:$N$11)^($O25+S$17))</f>
        <v>73052621824.999985</v>
      </c>
      <c r="T25" s="8" cm="1">
        <f t="array" ref="T25">SUM(($N$4:$N$11)^($O25+T$17))</f>
        <v>851965298687</v>
      </c>
      <c r="U25" s="8" cm="1">
        <f t="array" ref="U25">SUM(($N$4:$N$11)^($O25+U$17))</f>
        <v>9987013488641</v>
      </c>
      <c r="V25" s="8" cm="1">
        <f t="array" ref="V25">SUM(($N$4:$N$11)^($O25+V$17))</f>
        <v>117556089004031</v>
      </c>
      <c r="W25" s="8" cm="1">
        <f t="array" ref="W25">SUM(($N$4:$N$11)^($O25+W$17))</f>
        <v>1388395143675905</v>
      </c>
    </row>
    <row r="26" spans="2:25" ht="19.5" thickBot="1" x14ac:dyDescent="0.35">
      <c r="B26" s="8">
        <v>5.9998699999999996</v>
      </c>
      <c r="C26" s="8">
        <v>4.0704299851257941</v>
      </c>
      <c r="G26" s="8">
        <v>-0.99999000000000005</v>
      </c>
      <c r="H26" s="11">
        <f>$P$39+$P$40*G26+$P$41*G26^2+$P$42*G26^3+$P$43*G26^4+$P$44*G26^5+$P$45*G26^6+$P$46*G26^7</f>
        <v>4.9998870996426685</v>
      </c>
    </row>
    <row r="27" spans="2:25" ht="19.5" thickBot="1" x14ac:dyDescent="0.35">
      <c r="B27" s="8">
        <v>6.49986</v>
      </c>
      <c r="C27" s="8">
        <v>4.6877230097151843</v>
      </c>
      <c r="G27" s="8">
        <v>-0.5</v>
      </c>
      <c r="H27" s="8">
        <f t="shared" ref="H27:H49" si="0">$P$39+$P$40*G27+$P$41*G27^2+$P$42*G27^3+$P$43*G27^4+$P$44*G27^5+$P$45*G27^6+$P$46*G27^7</f>
        <v>0.77116953919531639</v>
      </c>
      <c r="P27" s="12" t="s">
        <v>13</v>
      </c>
      <c r="Q27" s="13"/>
      <c r="R27" s="13"/>
      <c r="S27" s="13"/>
      <c r="T27" s="13"/>
      <c r="U27" s="13"/>
      <c r="V27" s="13"/>
      <c r="W27" s="14"/>
      <c r="Y27" s="19" t="s">
        <v>14</v>
      </c>
    </row>
    <row r="28" spans="2:25" x14ac:dyDescent="0.3">
      <c r="B28" s="8">
        <v>6.9998500000000003</v>
      </c>
      <c r="C28" s="8">
        <v>5.3214374449818784</v>
      </c>
      <c r="G28" s="8">
        <v>-1.00000000000655E-5</v>
      </c>
      <c r="H28" s="8">
        <f t="shared" si="0"/>
        <v>-0.9999811035087498</v>
      </c>
    </row>
    <row r="29" spans="2:25" x14ac:dyDescent="0.3">
      <c r="B29" s="8">
        <v>7.4998399999999998</v>
      </c>
      <c r="C29" s="8">
        <v>5.9704319243978725</v>
      </c>
      <c r="G29" s="8">
        <v>0.49997999999999998</v>
      </c>
      <c r="H29" s="8">
        <f t="shared" si="0"/>
        <v>-1.4012411095234873</v>
      </c>
      <c r="P29" s="1">
        <f t="array" ref="P29:W36">MINVERSE(P18:W25)</f>
        <v>1.0000000044079385</v>
      </c>
      <c r="Q29" s="1">
        <v>-0.22499902049199946</v>
      </c>
      <c r="R29" s="1">
        <v>-0.6611123416627237</v>
      </c>
      <c r="S29" s="1">
        <v>0.43628530055643011</v>
      </c>
      <c r="T29" s="1">
        <v>-0.11241332761620729</v>
      </c>
      <c r="U29" s="1">
        <v>1.4279529972496053E-2</v>
      </c>
      <c r="V29" s="1">
        <v>-8.8975792093798399E-4</v>
      </c>
      <c r="W29" s="1">
        <v>2.1701412365740436E-5</v>
      </c>
      <c r="Y29" s="1" cm="1">
        <f t="array" ref="Y29">SUM(($O$4:$O$11)*($N$4:$N$11)^(M4-1))</f>
        <v>38.235891921635343</v>
      </c>
    </row>
    <row r="30" spans="2:25" x14ac:dyDescent="0.3">
      <c r="B30" s="8">
        <v>7.9998300000000002</v>
      </c>
      <c r="C30" s="8">
        <v>6.6337122283410501</v>
      </c>
      <c r="G30" s="8">
        <v>0.99997000000000003</v>
      </c>
      <c r="H30" s="8">
        <f t="shared" si="0"/>
        <v>-1.1321430831103334</v>
      </c>
      <c r="P30" s="1">
        <v>-0.22499902059128996</v>
      </c>
      <c r="Q30" s="1">
        <v>2.0025746154180046</v>
      </c>
      <c r="R30" s="1">
        <v>0.27742972151094963</v>
      </c>
      <c r="S30" s="1">
        <v>-1.1079521697600985</v>
      </c>
      <c r="T30" s="1">
        <v>0.42822759817819911</v>
      </c>
      <c r="U30" s="1">
        <v>-6.7946850490192473E-2</v>
      </c>
      <c r="V30" s="1">
        <v>4.8959475155627317E-3</v>
      </c>
      <c r="W30" s="1">
        <v>-1.3230754524373405E-4</v>
      </c>
      <c r="Y30" s="1" cm="1">
        <f t="array" ref="Y30">SUM(($O$4:$O$11)*($N$4:$N$11)^(M5-1))</f>
        <v>322.13417738089845</v>
      </c>
    </row>
    <row r="31" spans="2:25" x14ac:dyDescent="0.3">
      <c r="B31" s="8">
        <v>8.4998199999999997</v>
      </c>
      <c r="C31" s="8">
        <v>7.310404711255611</v>
      </c>
      <c r="G31" s="8">
        <v>1.49996</v>
      </c>
      <c r="H31" s="8">
        <f t="shared" si="0"/>
        <v>-0.60811116781885055</v>
      </c>
      <c r="P31" s="1">
        <v>-0.66111234165833543</v>
      </c>
      <c r="Q31" s="1">
        <v>0.27742972136610156</v>
      </c>
      <c r="R31" s="1">
        <v>0.68878649367222844</v>
      </c>
      <c r="S31" s="1">
        <v>-0.50990459796848353</v>
      </c>
      <c r="T31" s="1">
        <v>0.13834915327617928</v>
      </c>
      <c r="U31" s="1">
        <v>-1.8052469977430003E-2</v>
      </c>
      <c r="V31" s="1">
        <v>1.1410284191785845E-3</v>
      </c>
      <c r="W31" s="1">
        <v>-2.8036700858779511E-5</v>
      </c>
      <c r="Y31" s="1" cm="1">
        <f t="array" ref="Y31">SUM(($O$4:$O$11)*($N$4:$N$11)^(M6-1))</f>
        <v>3326.9511737357197</v>
      </c>
    </row>
    <row r="32" spans="2:25" x14ac:dyDescent="0.3">
      <c r="B32" s="8">
        <v>8.9998100000000001</v>
      </c>
      <c r="C32" s="8">
        <v>7.9997357365058921</v>
      </c>
      <c r="G32" s="8">
        <v>1.9999499999999999</v>
      </c>
      <c r="H32" s="8">
        <f t="shared" si="0"/>
        <v>-4.5811783046100341E-2</v>
      </c>
      <c r="P32" s="1">
        <v>0.43628530061493875</v>
      </c>
      <c r="Q32" s="1">
        <v>-1.1079521697373589</v>
      </c>
      <c r="R32" s="1">
        <v>-0.50990459806167354</v>
      </c>
      <c r="S32" s="1">
        <v>0.86581851930585085</v>
      </c>
      <c r="T32" s="1">
        <v>-0.30957612964738912</v>
      </c>
      <c r="U32" s="1">
        <v>4.7741682710011613E-2</v>
      </c>
      <c r="V32" s="1">
        <v>-3.3918039509066192E-3</v>
      </c>
      <c r="W32" s="1">
        <v>9.0917541082030483E-5</v>
      </c>
      <c r="Y32" s="1" cm="1">
        <f t="array" ref="Y32">SUM(($O$4:$O$11)*($N$4:$N$11)^(M7-1))</f>
        <v>35170.050865724283</v>
      </c>
    </row>
    <row r="33" spans="2:25" x14ac:dyDescent="0.3">
      <c r="B33" s="8">
        <v>9.4998000000000005</v>
      </c>
      <c r="C33" s="8">
        <v>8.7010155175900792</v>
      </c>
      <c r="G33" s="8">
        <v>2.4999400000000001</v>
      </c>
      <c r="H33" s="8">
        <f t="shared" si="0"/>
        <v>0.46848587160286215</v>
      </c>
      <c r="P33" s="1">
        <v>-0.11241332764154796</v>
      </c>
      <c r="Q33" s="1">
        <v>0.42822759819626205</v>
      </c>
      <c r="R33" s="1">
        <v>0.13834915331893041</v>
      </c>
      <c r="S33" s="1">
        <v>-0.3095761296662119</v>
      </c>
      <c r="T33" s="1">
        <v>0.11642930574917189</v>
      </c>
      <c r="U33" s="1">
        <v>-1.843200093599574E-2</v>
      </c>
      <c r="V33" s="1">
        <v>1.3316908913445986E-3</v>
      </c>
      <c r="W33" s="1">
        <v>-3.6119238044285297E-5</v>
      </c>
      <c r="Y33" s="1" cm="1">
        <f t="array" ref="Y33">SUM(($O$4:$O$11)*($N$4:$N$11)^(M8-1))</f>
        <v>383500.13480408711</v>
      </c>
    </row>
    <row r="34" spans="2:25" x14ac:dyDescent="0.3">
      <c r="B34" s="8">
        <v>9.9997900000000008</v>
      </c>
      <c r="C34" s="8">
        <v>9.4136252493033528</v>
      </c>
      <c r="G34" s="8">
        <v>2.99993</v>
      </c>
      <c r="H34" s="8">
        <f t="shared" si="0"/>
        <v>0.92584529683103911</v>
      </c>
      <c r="P34" s="1">
        <v>1.4279529977307854E-2</v>
      </c>
      <c r="Q34" s="1">
        <v>-6.7946850496048761E-2</v>
      </c>
      <c r="R34" s="1">
        <v>-1.8052469984966922E-2</v>
      </c>
      <c r="S34" s="1">
        <v>4.774168271500074E-2</v>
      </c>
      <c r="T34" s="1">
        <v>-1.8432000936759518E-2</v>
      </c>
      <c r="U34" s="1">
        <v>2.9588179531563471E-3</v>
      </c>
      <c r="V34" s="1">
        <v>-2.1573588878289176E-4</v>
      </c>
      <c r="W34" s="1">
        <v>5.8898736774155216E-6</v>
      </c>
      <c r="Y34" s="1" cm="1">
        <f t="array" ref="Y34">SUM(($O$4:$O$11)*($N$4:$N$11)^(M9-1))</f>
        <v>4269644.0715312324</v>
      </c>
    </row>
    <row r="35" spans="2:25" x14ac:dyDescent="0.3">
      <c r="B35" s="8">
        <v>10.499779999999999</v>
      </c>
      <c r="C35" s="8">
        <v>10.137006734637673</v>
      </c>
      <c r="G35" s="8">
        <v>3.4999199999999999</v>
      </c>
      <c r="H35" s="8">
        <f t="shared" si="0"/>
        <v>1.3551999117196862</v>
      </c>
      <c r="P35" s="1">
        <v>-8.8975792132815691E-4</v>
      </c>
      <c r="Q35" s="1">
        <v>4.8959475161496199E-3</v>
      </c>
      <c r="R35" s="1">
        <v>1.1410284197649193E-3</v>
      </c>
      <c r="S35" s="1">
        <v>-3.3918039513787051E-3</v>
      </c>
      <c r="T35" s="1">
        <v>1.3316908914424415E-3</v>
      </c>
      <c r="U35" s="1">
        <v>-2.1573588878967008E-4</v>
      </c>
      <c r="V35" s="1">
        <v>1.5827237688603818E-5</v>
      </c>
      <c r="W35" s="1">
        <v>-4.3405593810788563E-7</v>
      </c>
      <c r="Y35" s="1" cm="1">
        <f t="array" ref="Y35">SUM(($O$4:$O$11)*($N$4:$N$11)^(M10-1))</f>
        <v>48278870.122437954</v>
      </c>
    </row>
    <row r="36" spans="2:25" x14ac:dyDescent="0.3">
      <c r="G36" s="8">
        <v>3.9999099999999999</v>
      </c>
      <c r="H36" s="8">
        <f t="shared" si="0"/>
        <v>1.7957977620303289</v>
      </c>
      <c r="P36" s="1">
        <v>2.1701412376396002E-5</v>
      </c>
      <c r="Q36" s="1">
        <v>-1.3230754526296032E-4</v>
      </c>
      <c r="R36" s="1">
        <v>-2.8036700875598573E-5</v>
      </c>
      <c r="S36" s="1">
        <v>9.0917541097252071E-5</v>
      </c>
      <c r="T36" s="1">
        <v>-3.611923804786561E-5</v>
      </c>
      <c r="U36" s="1">
        <v>5.8898736777469139E-6</v>
      </c>
      <c r="V36" s="1">
        <v>-4.3405593811856375E-7</v>
      </c>
      <c r="W36" s="1">
        <v>1.1943661673032257E-8</v>
      </c>
      <c r="Y36" s="1" cm="1">
        <f t="array" ref="Y36">SUM(($O$4:$O$11)*($N$4:$N$11)^(M11-1))</f>
        <v>552364010.11675024</v>
      </c>
    </row>
    <row r="37" spans="2:25" x14ac:dyDescent="0.3">
      <c r="G37" s="8">
        <v>4.4999000000000002</v>
      </c>
      <c r="H37" s="8">
        <f t="shared" si="0"/>
        <v>2.2798594714160894</v>
      </c>
    </row>
    <row r="38" spans="2:25" x14ac:dyDescent="0.3">
      <c r="G38" s="8">
        <v>4.9998899999999997</v>
      </c>
      <c r="H38" s="8">
        <f t="shared" si="0"/>
        <v>2.8237551882202978</v>
      </c>
      <c r="O38" s="20"/>
      <c r="P38" s="20" t="s">
        <v>15</v>
      </c>
    </row>
    <row r="39" spans="2:25" x14ac:dyDescent="0.3">
      <c r="G39" s="8">
        <v>5.4998800000000001</v>
      </c>
      <c r="H39" s="8">
        <f t="shared" si="0"/>
        <v>3.4260062805394425</v>
      </c>
      <c r="O39" s="20">
        <v>0</v>
      </c>
      <c r="P39" s="20">
        <f t="array" ref="P39:P46">MMULT(P29:W36,Y29:Y36)</f>
        <v>-0.9999999249503162</v>
      </c>
    </row>
    <row r="40" spans="2:25" x14ac:dyDescent="0.3">
      <c r="G40" s="8">
        <v>5.9998699999999996</v>
      </c>
      <c r="H40" s="8">
        <f t="shared" si="0"/>
        <v>4.0704175322287792</v>
      </c>
      <c r="O40" s="20">
        <v>1</v>
      </c>
      <c r="P40" s="20">
        <v>-1.8821174003533088</v>
      </c>
    </row>
    <row r="41" spans="2:25" x14ac:dyDescent="0.3">
      <c r="G41" s="8">
        <v>6.49986</v>
      </c>
      <c r="H41" s="8">
        <f t="shared" si="0"/>
        <v>4.7326455925277671</v>
      </c>
      <c r="O41" s="20">
        <v>2</v>
      </c>
      <c r="P41" s="20">
        <v>2.675615938320334</v>
      </c>
    </row>
    <row r="42" spans="2:25" x14ac:dyDescent="0.3">
      <c r="G42" s="8">
        <v>6.9998500000000003</v>
      </c>
      <c r="H42" s="8">
        <f t="shared" si="0"/>
        <v>5.3885094319827331</v>
      </c>
      <c r="O42" s="20">
        <v>3</v>
      </c>
      <c r="P42" s="20">
        <v>-1.1535884589902707</v>
      </c>
    </row>
    <row r="43" spans="2:25" x14ac:dyDescent="0.3">
      <c r="G43" s="8">
        <v>7.4998399999999998</v>
      </c>
      <c r="H43" s="8">
        <f t="shared" si="0"/>
        <v>6.0223485573456017</v>
      </c>
      <c r="O43" s="20">
        <v>4</v>
      </c>
      <c r="P43" s="20">
        <v>0.2565171534770343</v>
      </c>
    </row>
    <row r="44" spans="2:25" x14ac:dyDescent="0.3">
      <c r="G44" s="8">
        <v>7.9998300000000002</v>
      </c>
      <c r="H44" s="8">
        <f t="shared" si="0"/>
        <v>6.6337347381243177</v>
      </c>
      <c r="O44" s="20">
        <v>5</v>
      </c>
      <c r="P44" s="20">
        <v>-3.0312210516513005E-2</v>
      </c>
    </row>
    <row r="45" spans="2:25" x14ac:dyDescent="0.3">
      <c r="G45" s="8">
        <v>8.4998199999999997</v>
      </c>
      <c r="H45" s="8">
        <f t="shared" si="0"/>
        <v>7.2408429974646253</v>
      </c>
      <c r="O45" s="20">
        <v>6</v>
      </c>
      <c r="P45" s="20">
        <v>1.8116567619870239E-3</v>
      </c>
    </row>
    <row r="46" spans="2:25" x14ac:dyDescent="0.3">
      <c r="G46" s="8">
        <v>8.9998100000000001</v>
      </c>
      <c r="H46" s="8">
        <f t="shared" si="0"/>
        <v>7.8787876200401286</v>
      </c>
      <c r="O46" s="20">
        <v>7</v>
      </c>
      <c r="P46" s="20">
        <v>-4.3034527897667374E-5</v>
      </c>
    </row>
    <row r="47" spans="2:25" x14ac:dyDescent="0.3">
      <c r="G47" s="8">
        <v>9.4998000000000005</v>
      </c>
      <c r="H47" s="8">
        <f t="shared" si="0"/>
        <v>8.5912289296269364</v>
      </c>
    </row>
    <row r="48" spans="2:25" x14ac:dyDescent="0.3">
      <c r="G48" s="8">
        <v>9.9997900000000008</v>
      </c>
      <c r="H48" s="8">
        <f t="shared" si="0"/>
        <v>9.4135565890420025</v>
      </c>
    </row>
    <row r="49" spans="7:8" x14ac:dyDescent="0.3">
      <c r="G49" s="8">
        <v>10.499779999999999</v>
      </c>
      <c r="H49" s="8">
        <f t="shared" si="0"/>
        <v>10.345955175123436</v>
      </c>
    </row>
  </sheetData>
  <mergeCells count="5">
    <mergeCell ref="D1:J1"/>
    <mergeCell ref="B4:C4"/>
    <mergeCell ref="N1:O1"/>
    <mergeCell ref="P16:W16"/>
    <mergeCell ref="P27:W2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Косован</dc:creator>
  <cp:lastModifiedBy>Михаил Косован</cp:lastModifiedBy>
  <dcterms:created xsi:type="dcterms:W3CDTF">2020-10-15T07:22:30Z</dcterms:created>
  <dcterms:modified xsi:type="dcterms:W3CDTF">2020-10-15T08:39:20Z</dcterms:modified>
</cp:coreProperties>
</file>